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flash\Desktop\Jobvorbereitungen\Sachbearbeiter_Polizeiliche_Kriminalstatistk\Excel_practice\Statistics\"/>
    </mc:Choice>
  </mc:AlternateContent>
  <xr:revisionPtr revIDLastSave="0" documentId="13_ncr:1_{8F7C636F-9E1D-4515-A275-539D30B3F22B}" xr6:coauthVersionLast="47" xr6:coauthVersionMax="47" xr10:uidLastSave="{00000000-0000-0000-0000-000000000000}"/>
  <bookViews>
    <workbookView xWindow="-120" yWindow="-120" windowWidth="29040" windowHeight="15720" activeTab="1" xr2:uid="{D5A0188D-53C2-41BA-8CFB-1A9FF9DBCA4B}"/>
  </bookViews>
  <sheets>
    <sheet name="Was-wäre-wenn Analyse" sheetId="1" r:id="rId1"/>
    <sheet name="HistogrammPareto-Diagram" sheetId="5" r:id="rId2"/>
  </sheets>
  <definedNames>
    <definedName name="_xlchart.v1.0" hidden="1">'HistogrammPareto-Diagram'!$B$1</definedName>
    <definedName name="_xlchart.v1.1" hidden="1">'HistogrammPareto-Diagram'!$B$2:$B$151</definedName>
    <definedName name="_xlchart.v1.2" hidden="1">'HistogrammPareto-Diagram'!$B$1</definedName>
    <definedName name="_xlchart.v1.3" hidden="1">'HistogrammPareto-Diagram'!$B$2:$B$151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1" l="1"/>
  <c r="C18" i="1"/>
  <c r="C11" i="1"/>
  <c r="C4" i="1"/>
</calcChain>
</file>

<file path=xl/sharedStrings.xml><?xml version="1.0" encoding="utf-8"?>
<sst xmlns="http://schemas.openxmlformats.org/spreadsheetml/2006/main" count="168" uniqueCount="144">
  <si>
    <t>Szenario</t>
  </si>
  <si>
    <t>Brutoeinnahmen</t>
  </si>
  <si>
    <t>Kosten der verkauften Produkte</t>
  </si>
  <si>
    <t>Brutogewinn</t>
  </si>
  <si>
    <t>Zielwertsuche</t>
  </si>
  <si>
    <t>Kreditbetrag</t>
  </si>
  <si>
    <t>Zinsatz</t>
  </si>
  <si>
    <t>Laufzeit in Monaten</t>
  </si>
  <si>
    <t>Man legt 'default' Werte für Zeilen an, aus denen man auswählen kann. Diese Default-Werte sind die Szenarien. In diesem Beispiel haeb ich Einnahmen und Kosten für den Bestfall und den SchelctestFall in je einem Szenario gespeichert. So kann ich schnell zwischen den Werten wechseln oder mir eine Übersicht über alle Szenarien anzeigen lassen</t>
  </si>
  <si>
    <t>Zurückzahlen pro Monat</t>
  </si>
  <si>
    <t>Man hat einen Wert, den man über eien Formel ausrechnen muss. Man weiß, was man für ein Ergebnis haben möchte und kennt alle bis auf eine Variable. Mittels der Zielwertsuche errechnet man den Wert, den die fehlende Variable hat, damit die Formel mit den restlichen festgellegten Werten zum festgelegten Ergebnis führen</t>
  </si>
  <si>
    <t>Datentabellen</t>
  </si>
  <si>
    <t>BMI</t>
  </si>
  <si>
    <t>Größe in m</t>
  </si>
  <si>
    <t>Gewicht in kg</t>
  </si>
  <si>
    <t>Name</t>
  </si>
  <si>
    <t>Age</t>
  </si>
  <si>
    <t>Sophia Smith</t>
  </si>
  <si>
    <t>David Davis</t>
  </si>
  <si>
    <t>Ava Jones</t>
  </si>
  <si>
    <t>Sophia Moore</t>
  </si>
  <si>
    <t>Michael Jackson</t>
  </si>
  <si>
    <t>Amelia Johnson</t>
  </si>
  <si>
    <t>John Brown</t>
  </si>
  <si>
    <t>James Davis</t>
  </si>
  <si>
    <t>Alexander Martin</t>
  </si>
  <si>
    <t>John Moore</t>
  </si>
  <si>
    <t>James Moore</t>
  </si>
  <si>
    <t>Amelia Davis</t>
  </si>
  <si>
    <t>Henry Jackson</t>
  </si>
  <si>
    <t>David Smith</t>
  </si>
  <si>
    <t>Olivia Wilson</t>
  </si>
  <si>
    <t>Benjamin Rodriguez</t>
  </si>
  <si>
    <t>Daniel Miller</t>
  </si>
  <si>
    <t>Benjamin Williams</t>
  </si>
  <si>
    <t>Michael Gonzalez</t>
  </si>
  <si>
    <t>Sophia Lopez</t>
  </si>
  <si>
    <t>Charlotte Martin</t>
  </si>
  <si>
    <t>David Johnson</t>
  </si>
  <si>
    <t>Henry Moore</t>
  </si>
  <si>
    <t>Sophia Gonzalez</t>
  </si>
  <si>
    <t>Michael Moore</t>
  </si>
  <si>
    <t>Mia Martin</t>
  </si>
  <si>
    <t>Charlotte Jackson</t>
  </si>
  <si>
    <t>James Brown</t>
  </si>
  <si>
    <t>Emma Davis</t>
  </si>
  <si>
    <t>Mia Brown</t>
  </si>
  <si>
    <t>Ava Williams</t>
  </si>
  <si>
    <t>Lucas Rodriguez</t>
  </si>
  <si>
    <t>Henry Lopez</t>
  </si>
  <si>
    <t>Olivia Lopez</t>
  </si>
  <si>
    <t>Charlotte Miller</t>
  </si>
  <si>
    <t>David Brown</t>
  </si>
  <si>
    <t>Abigail Garcia</t>
  </si>
  <si>
    <t>Evelyn Davis</t>
  </si>
  <si>
    <t>Olivia Anderson</t>
  </si>
  <si>
    <t>Benjamin Johnson</t>
  </si>
  <si>
    <t>Ava Johnson</t>
  </si>
  <si>
    <t>Benjamin Gonzalez</t>
  </si>
  <si>
    <t>James Jackson</t>
  </si>
  <si>
    <t>Benjamin Miller</t>
  </si>
  <si>
    <t>Harper Gonzalez</t>
  </si>
  <si>
    <t>Henry Jones</t>
  </si>
  <si>
    <t>David Jones</t>
  </si>
  <si>
    <t>Ava Moore</t>
  </si>
  <si>
    <t>Evelyn Rodriguez</t>
  </si>
  <si>
    <t>William Wilson</t>
  </si>
  <si>
    <t>William Gonzalez</t>
  </si>
  <si>
    <t>Charlotte Davis</t>
  </si>
  <si>
    <t>Daniel Taylor</t>
  </si>
  <si>
    <t>Harper Brown</t>
  </si>
  <si>
    <t>Emma Williams</t>
  </si>
  <si>
    <t>Daniel Garcia</t>
  </si>
  <si>
    <t>Amelia Martin</t>
  </si>
  <si>
    <t>Lucas Martin</t>
  </si>
  <si>
    <t>Henry Taylor</t>
  </si>
  <si>
    <t>David Moore</t>
  </si>
  <si>
    <t>John Williams</t>
  </si>
  <si>
    <t>Mia Wilson</t>
  </si>
  <si>
    <t>John Rodriguez</t>
  </si>
  <si>
    <t>Alexander Garcia</t>
  </si>
  <si>
    <t>Alexander Williams</t>
  </si>
  <si>
    <t>Mia Taylor</t>
  </si>
  <si>
    <t>Abigail Miller</t>
  </si>
  <si>
    <t>Daniel Lopez</t>
  </si>
  <si>
    <t>Olivia Moore</t>
  </si>
  <si>
    <t>Alexander Smith</t>
  </si>
  <si>
    <t>Abigail Hernandez</t>
  </si>
  <si>
    <t>Harper Smith</t>
  </si>
  <si>
    <t>Mia Davis</t>
  </si>
  <si>
    <t>William Brown</t>
  </si>
  <si>
    <t>Michael Thomas</t>
  </si>
  <si>
    <t>Daniel Jones</t>
  </si>
  <si>
    <t>Harper Moore</t>
  </si>
  <si>
    <t>Olivia Rodriguez</t>
  </si>
  <si>
    <t>Amelia Miller</t>
  </si>
  <si>
    <t>Evelyn Miller</t>
  </si>
  <si>
    <t>Mia Gonzalez</t>
  </si>
  <si>
    <t>Charlotte Anderson</t>
  </si>
  <si>
    <t>Alexander Anderson</t>
  </si>
  <si>
    <t>Sophia Davis</t>
  </si>
  <si>
    <t>Ava Brown</t>
  </si>
  <si>
    <t>Benjamin Smith</t>
  </si>
  <si>
    <t>William Moore</t>
  </si>
  <si>
    <t>Ava Jackson</t>
  </si>
  <si>
    <t>Ava Smith</t>
  </si>
  <si>
    <t>Michael Johnson</t>
  </si>
  <si>
    <t>Emma Hernandez</t>
  </si>
  <si>
    <t>Michael Taylor</t>
  </si>
  <si>
    <t>Ava Rodriguez</t>
  </si>
  <si>
    <t>Harper Miller</t>
  </si>
  <si>
    <t>Evelyn Jones</t>
  </si>
  <si>
    <t>William Jackson</t>
  </si>
  <si>
    <t>Harper Davis</t>
  </si>
  <si>
    <t>Harper Wilson</t>
  </si>
  <si>
    <t>James Williams</t>
  </si>
  <si>
    <t>Sophia Wilson</t>
  </si>
  <si>
    <t>Charlotte Wilson</t>
  </si>
  <si>
    <t>Amelia Anderson</t>
  </si>
  <si>
    <t>Emma Gonzalez</t>
  </si>
  <si>
    <t>Ava Miller</t>
  </si>
  <si>
    <t>Amelia Garcia</t>
  </si>
  <si>
    <t>David Anderson</t>
  </si>
  <si>
    <t>Sophia Johnson</t>
  </si>
  <si>
    <t>Evelyn Smith</t>
  </si>
  <si>
    <t>Michael Davis</t>
  </si>
  <si>
    <t>Harper Thomas</t>
  </si>
  <si>
    <t>James Gonzalez</t>
  </si>
  <si>
    <t>Emma Garcia</t>
  </si>
  <si>
    <t>Lucas Smith</t>
  </si>
  <si>
    <t>Henry Martinez</t>
  </si>
  <si>
    <t>Amelia Moore</t>
  </si>
  <si>
    <t>Harper Jones</t>
  </si>
  <si>
    <t>James Martinez</t>
  </si>
  <si>
    <t>James Johnson</t>
  </si>
  <si>
    <t>Emma Johnson</t>
  </si>
  <si>
    <t>William Thomas</t>
  </si>
  <si>
    <t>Alexander Taylor</t>
  </si>
  <si>
    <t>Olivia Johnson</t>
  </si>
  <si>
    <t>Alexander Brown</t>
  </si>
  <si>
    <t>Olivia Brown</t>
  </si>
  <si>
    <t>Abigail Brown</t>
  </si>
  <si>
    <t>Ava Gonzalez</t>
  </si>
  <si>
    <t>Sophia Jackson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</si>
</sst>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0.00\ &quot;€&quot;;[Red]\-#,##0.00\ &quot;€&quot;"/>
    <numFmt numFmtId="164" formatCode="_-[$$-409]* #,##0.00_ ;_-[$$-409]* \-#,##0.00\ ;_-[$$-409]* &quot;-&quot;??_ ;_-@_ "/>
    <numFmt numFmtId="165" formatCode="0.0"/>
  </numFmts>
  <fonts count="4" x14ac:knownFonts="1">
    <font>
      <sz val="11"/>
      <color theme="1"/>
      <name val="Aptos Narrow"/>
      <family val="2"/>
      <scheme val="minor"/>
    </font>
    <font>
      <sz val="11"/>
      <color theme="1"/>
      <name val="Aptos Narrow"/>
      <family val="2"/>
      <scheme val="minor"/>
    </font>
    <font>
      <b/>
      <sz val="11"/>
      <color rgb="FFFFFFFF"/>
      <name val="Calibri"/>
      <family val="2"/>
    </font>
    <font>
      <sz val="11"/>
      <color rgb="FF000000"/>
      <name val="Calibri"/>
      <family val="2"/>
    </font>
  </fonts>
  <fills count="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00B050"/>
        <bgColor indexed="64"/>
      </patternFill>
    </fill>
    <fill>
      <patternFill patternType="solid">
        <fgColor rgb="FF4F81BD"/>
        <bgColor rgb="FF000000"/>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0" fillId="2" borderId="0" xfId="0" applyFill="1"/>
    <xf numFmtId="0" fontId="0" fillId="0" borderId="1" xfId="0" applyBorder="1"/>
    <xf numFmtId="0" fontId="0" fillId="0" borderId="2" xfId="0" applyBorder="1"/>
    <xf numFmtId="164" fontId="0" fillId="0" borderId="3" xfId="0" applyNumberFormat="1" applyBorder="1"/>
    <xf numFmtId="0" fontId="0" fillId="0" borderId="4" xfId="0" applyBorder="1"/>
    <xf numFmtId="0" fontId="0" fillId="0" borderId="5" xfId="0" applyBorder="1"/>
    <xf numFmtId="0" fontId="0" fillId="0" borderId="6" xfId="0" applyBorder="1"/>
    <xf numFmtId="10" fontId="0" fillId="0" borderId="7" xfId="1" applyNumberFormat="1" applyFont="1" applyBorder="1"/>
    <xf numFmtId="0" fontId="0" fillId="0" borderId="8" xfId="0" applyBorder="1"/>
    <xf numFmtId="164" fontId="0" fillId="0" borderId="9" xfId="0" applyNumberFormat="1" applyBorder="1"/>
    <xf numFmtId="0" fontId="0" fillId="0" borderId="0" xfId="0" applyAlignment="1">
      <alignment wrapText="1"/>
    </xf>
    <xf numFmtId="8" fontId="0" fillId="0" borderId="0" xfId="0" applyNumberFormat="1"/>
    <xf numFmtId="10" fontId="0" fillId="0" borderId="0" xfId="0" applyNumberFormat="1"/>
    <xf numFmtId="164" fontId="0" fillId="0" borderId="0" xfId="0" applyNumberFormat="1"/>
    <xf numFmtId="2" fontId="0" fillId="0" borderId="0" xfId="1" applyNumberFormat="1" applyFont="1" applyFill="1" applyBorder="1"/>
    <xf numFmtId="165" fontId="0" fillId="0" borderId="0" xfId="0" applyNumberFormat="1"/>
    <xf numFmtId="0" fontId="0" fillId="3" borderId="0" xfId="0" applyFill="1"/>
    <xf numFmtId="0" fontId="0" fillId="4" borderId="0" xfId="0" applyFill="1"/>
    <xf numFmtId="0" fontId="2" fillId="5" borderId="1" xfId="0" applyFont="1" applyFill="1" applyBorder="1" applyAlignment="1">
      <alignment horizontal="left" vertical="top"/>
    </xf>
    <xf numFmtId="0" fontId="3" fillId="0" borderId="0" xfId="0" applyFont="1" applyAlignment="1">
      <alignment horizontal="left"/>
    </xf>
  </cellXfs>
  <cellStyles count="2">
    <cellStyle name="Prozent" xfId="1" builtinI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Histogramm</cx:v>
        </cx:txData>
      </cx:tx>
      <cx:txPr>
        <a:bodyPr spcFirstLastPara="1" vertOverflow="ellipsis" horzOverflow="overflow" wrap="square" lIns="0" tIns="0" rIns="0" bIns="0" anchor="ctr" anchorCtr="1"/>
        <a:lstStyle/>
        <a:p>
          <a:pPr algn="ctr" rtl="0">
            <a:defRPr/>
          </a:pPr>
          <a:r>
            <a:rPr lang="de-DE" sz="1400" b="0" i="0" u="none" strike="noStrike" baseline="0">
              <a:solidFill>
                <a:sysClr val="windowText" lastClr="000000">
                  <a:lumMod val="65000"/>
                  <a:lumOff val="35000"/>
                </a:sysClr>
              </a:solidFill>
              <a:latin typeface="Aptos Narrow" panose="02110004020202020204"/>
            </a:rPr>
            <a:t>Histogramm</a:t>
          </a:r>
        </a:p>
      </cx:txPr>
    </cx:title>
    <cx:plotArea>
      <cx:plotAreaRegion>
        <cx:series layoutId="clusteredColumn" uniqueId="{C04A75D6-DD35-49D7-9759-088DC7355DB1}">
          <cx:tx>
            <cx:txData>
              <cx:f>_xlchart.v1.0</cx:f>
              <cx:v>Age</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Pareto-Diagramm</cx:v>
        </cx:txData>
      </cx:tx>
      <cx:txPr>
        <a:bodyPr spcFirstLastPara="1" vertOverflow="ellipsis" horzOverflow="overflow" wrap="square" lIns="0" tIns="0" rIns="0" bIns="0" anchor="ctr" anchorCtr="1"/>
        <a:lstStyle/>
        <a:p>
          <a:pPr algn="ctr" rtl="0">
            <a:defRPr/>
          </a:pPr>
          <a:r>
            <a:rPr lang="de-DE" sz="1400" b="0" i="0" u="none" strike="noStrike" baseline="0">
              <a:solidFill>
                <a:sysClr val="windowText" lastClr="000000">
                  <a:lumMod val="65000"/>
                  <a:lumOff val="35000"/>
                </a:sysClr>
              </a:solidFill>
              <a:latin typeface="Aptos Narrow" panose="02110004020202020204"/>
            </a:rPr>
            <a:t>Pareto-Diagramm</a:t>
          </a:r>
        </a:p>
      </cx:txPr>
    </cx:title>
    <cx:plotArea>
      <cx:plotAreaRegion>
        <cx:series layoutId="clusteredColumn" uniqueId="{BF173EB6-8F40-4B97-9A99-CEE4F7C1752A}">
          <cx:tx>
            <cx:txData>
              <cx:f>_xlchart.v1.2</cx:f>
              <cx:v>Age</cx:v>
            </cx:txData>
          </cx:tx>
          <cx:dataId val="0"/>
          <cx:layoutPr>
            <cx:binning intervalClosed="r"/>
          </cx:layoutPr>
          <cx:axisId val="1"/>
        </cx:series>
        <cx:series layoutId="paretoLine" ownerIdx="0" uniqueId="{D4A00B31-C451-4D92-A462-7181AB381EF2}">
          <cx:axisId val="2"/>
        </cx:series>
      </cx:plotAreaRegion>
      <cx:axis id="0">
        <cx:catScaling gapWidth="0"/>
        <cx:tickLabels/>
      </cx:axis>
      <cx:axis id="1">
        <cx:valScaling/>
        <cx:majorGridlines/>
        <cx:tickLabels/>
      </cx:axis>
      <cx:axis id="2">
        <cx:valScaling max="1" min="0"/>
        <cx:units unit="percentage"/>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2</xdr:col>
      <xdr:colOff>71437</xdr:colOff>
      <xdr:row>6</xdr:row>
      <xdr:rowOff>61911</xdr:rowOff>
    </xdr:from>
    <xdr:to>
      <xdr:col>11</xdr:col>
      <xdr:colOff>447675</xdr:colOff>
      <xdr:row>29</xdr:row>
      <xdr:rowOff>47624</xdr:rowOff>
    </xdr:to>
    <mc:AlternateContent xmlns:mc="http://schemas.openxmlformats.org/markup-compatibility/2006">
      <mc:Choice xmlns:cx1="http://schemas.microsoft.com/office/drawing/2015/9/8/chartex" Requires="cx1">
        <xdr:graphicFrame macro="">
          <xdr:nvGraphicFramePr>
            <xdr:cNvPr id="3" name="Diagramm 2">
              <a:extLst>
                <a:ext uri="{FF2B5EF4-FFF2-40B4-BE49-F238E27FC236}">
                  <a16:creationId xmlns:a16="http://schemas.microsoft.com/office/drawing/2014/main" id="{40DB8537-1161-F897-8D37-A8D2D27BBF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119312" y="1204911"/>
              <a:ext cx="7234238" cy="4367213"/>
            </a:xfrm>
            <a:prstGeom prst="rect">
              <a:avLst/>
            </a:prstGeom>
            <a:solidFill>
              <a:prstClr val="white"/>
            </a:solidFill>
            <a:ln w="1">
              <a:solidFill>
                <a:prstClr val="green"/>
              </a:solidFill>
            </a:ln>
          </xdr:spPr>
          <xdr:txBody>
            <a:bodyPr vertOverflow="clip" horzOverflow="clip"/>
            <a:lstStyle/>
            <a:p>
              <a:r>
                <a:rPr lang="de-DE" sz="1100"/>
                <a:t>Dieses Diagramm ist in Ihrer Version von Excel nicht verfügbar.
Wenn Sie diese Form bearbeiten oder diese Arbeitsmappe in einem anderen Dateiformat speichern, wird das Diagramm dauerhaft beschädigt.</a:t>
              </a:r>
            </a:p>
          </xdr:txBody>
        </xdr:sp>
      </mc:Fallback>
    </mc:AlternateContent>
    <xdr:clientData/>
  </xdr:twoCellAnchor>
  <xdr:twoCellAnchor>
    <xdr:from>
      <xdr:col>11</xdr:col>
      <xdr:colOff>452436</xdr:colOff>
      <xdr:row>6</xdr:row>
      <xdr:rowOff>85725</xdr:rowOff>
    </xdr:from>
    <xdr:to>
      <xdr:col>20</xdr:col>
      <xdr:colOff>571500</xdr:colOff>
      <xdr:row>28</xdr:row>
      <xdr:rowOff>114300</xdr:rowOff>
    </xdr:to>
    <mc:AlternateContent xmlns:mc="http://schemas.openxmlformats.org/markup-compatibility/2006">
      <mc:Choice xmlns:cx1="http://schemas.microsoft.com/office/drawing/2015/9/8/chartex" Requires="cx1">
        <xdr:graphicFrame macro="">
          <xdr:nvGraphicFramePr>
            <xdr:cNvPr id="4" name="Diagramm 3">
              <a:extLst>
                <a:ext uri="{FF2B5EF4-FFF2-40B4-BE49-F238E27FC236}">
                  <a16:creationId xmlns:a16="http://schemas.microsoft.com/office/drawing/2014/main" id="{98A36D25-00E1-D704-039F-D054FFFEA1A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358311" y="1228725"/>
              <a:ext cx="6977064" cy="4219575"/>
            </a:xfrm>
            <a:prstGeom prst="rect">
              <a:avLst/>
            </a:prstGeom>
            <a:solidFill>
              <a:prstClr val="white"/>
            </a:solidFill>
            <a:ln w="1">
              <a:solidFill>
                <a:prstClr val="green"/>
              </a:solidFill>
            </a:ln>
          </xdr:spPr>
          <xdr:txBody>
            <a:bodyPr vertOverflow="clip" horzOverflow="clip"/>
            <a:lstStyle/>
            <a:p>
              <a:r>
                <a:rPr lang="de-DE" sz="1100"/>
                <a:t>Dieses Diagramm ist in Ihrer Version von Excel nicht verfügbar.
Wenn Sie diese Form bearbeiten oder diese Arbeitsmappe in einem anderen Dateiformat speichern, wird das Diagramm dauerhaft beschädigt.</a:t>
              </a:r>
            </a:p>
          </xdr:txBody>
        </xdr:sp>
      </mc:Fallback>
    </mc:AlternateContent>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1DBF6-F8F9-4F57-8424-CDBBA38E623D}">
  <dimension ref="A1:Z41"/>
  <sheetViews>
    <sheetView topLeftCell="A12" workbookViewId="0">
      <selection activeCell="E29" sqref="E29"/>
    </sheetView>
  </sheetViews>
  <sheetFormatPr baseColWidth="10" defaultRowHeight="15" x14ac:dyDescent="0.25"/>
  <cols>
    <col min="1" max="1" width="13.140625" bestFit="1" customWidth="1"/>
    <col min="2" max="2" width="28.5703125" bestFit="1" customWidth="1"/>
    <col min="5" max="5" width="57.7109375" customWidth="1"/>
  </cols>
  <sheetData>
    <row r="1" spans="1:5" x14ac:dyDescent="0.25">
      <c r="A1" s="1" t="s">
        <v>0</v>
      </c>
    </row>
    <row r="2" spans="1:5" x14ac:dyDescent="0.25">
      <c r="B2" s="2" t="s">
        <v>1</v>
      </c>
      <c r="C2" s="2">
        <v>50000</v>
      </c>
    </row>
    <row r="3" spans="1:5" x14ac:dyDescent="0.25">
      <c r="B3" s="2" t="s">
        <v>2</v>
      </c>
      <c r="C3" s="2">
        <v>13200</v>
      </c>
    </row>
    <row r="4" spans="1:5" x14ac:dyDescent="0.25">
      <c r="B4" s="2" t="s">
        <v>3</v>
      </c>
      <c r="C4" s="2">
        <f>C2-C3</f>
        <v>36800</v>
      </c>
    </row>
    <row r="5" spans="1:5" ht="105" x14ac:dyDescent="0.25">
      <c r="E5" s="11" t="s">
        <v>8</v>
      </c>
    </row>
    <row r="7" spans="1:5" x14ac:dyDescent="0.25">
      <c r="A7" s="1" t="s">
        <v>4</v>
      </c>
    </row>
    <row r="8" spans="1:5" x14ac:dyDescent="0.25">
      <c r="B8" s="3" t="s">
        <v>5</v>
      </c>
      <c r="C8" s="4">
        <v>100</v>
      </c>
    </row>
    <row r="9" spans="1:5" x14ac:dyDescent="0.25">
      <c r="B9" s="5" t="s">
        <v>7</v>
      </c>
      <c r="C9" s="6">
        <v>180</v>
      </c>
    </row>
    <row r="10" spans="1:5" x14ac:dyDescent="0.25">
      <c r="B10" s="7" t="s">
        <v>6</v>
      </c>
      <c r="C10" s="8">
        <v>7.0199999999999999E-2</v>
      </c>
    </row>
    <row r="11" spans="1:5" x14ac:dyDescent="0.25">
      <c r="B11" s="9" t="s">
        <v>9</v>
      </c>
      <c r="C11" s="10">
        <f>PMT(C10/12,C9,C8)</f>
        <v>-0.89994679038392644</v>
      </c>
    </row>
    <row r="12" spans="1:5" ht="90" x14ac:dyDescent="0.25">
      <c r="E12" s="11" t="s">
        <v>10</v>
      </c>
    </row>
    <row r="14" spans="1:5" x14ac:dyDescent="0.25">
      <c r="A14" s="1" t="s">
        <v>11</v>
      </c>
    </row>
    <row r="15" spans="1:5" x14ac:dyDescent="0.25">
      <c r="B15" t="s">
        <v>12</v>
      </c>
    </row>
    <row r="16" spans="1:5" x14ac:dyDescent="0.25">
      <c r="B16" t="s">
        <v>13</v>
      </c>
      <c r="C16">
        <v>1.76</v>
      </c>
      <c r="E16" s="12"/>
    </row>
    <row r="17" spans="2:26" x14ac:dyDescent="0.25">
      <c r="B17" t="s">
        <v>14</v>
      </c>
      <c r="C17" s="15">
        <v>72</v>
      </c>
      <c r="D17" s="13"/>
      <c r="E17" s="12"/>
    </row>
    <row r="18" spans="2:26" x14ac:dyDescent="0.25">
      <c r="B18" t="s">
        <v>12</v>
      </c>
      <c r="C18" s="16">
        <f>$C$17/$C$16^2</f>
        <v>23.243801652892564</v>
      </c>
      <c r="D18" s="13"/>
      <c r="E18" s="12"/>
    </row>
    <row r="19" spans="2:26" x14ac:dyDescent="0.25">
      <c r="C19" s="14"/>
      <c r="D19" s="13"/>
      <c r="E19" s="12"/>
    </row>
    <row r="20" spans="2:26" x14ac:dyDescent="0.25">
      <c r="F20" s="16">
        <f>$C$17/$C$16^2</f>
        <v>23.243801652892564</v>
      </c>
      <c r="G20" s="18">
        <v>1.61</v>
      </c>
      <c r="H20" s="18">
        <v>1.62</v>
      </c>
      <c r="I20" s="18">
        <v>1.63</v>
      </c>
      <c r="J20" s="18">
        <v>1.64</v>
      </c>
      <c r="K20" s="18">
        <v>1.65</v>
      </c>
      <c r="L20" s="18">
        <v>1.66</v>
      </c>
      <c r="M20" s="18">
        <v>1.67</v>
      </c>
      <c r="N20" s="18">
        <v>1.68</v>
      </c>
      <c r="O20" s="18">
        <v>1.69</v>
      </c>
      <c r="P20" s="18">
        <v>1.7</v>
      </c>
      <c r="Q20" s="18">
        <v>1.71</v>
      </c>
      <c r="R20" s="18">
        <v>1.72</v>
      </c>
      <c r="S20" s="18">
        <v>1.73</v>
      </c>
      <c r="T20" s="18">
        <v>1.74</v>
      </c>
      <c r="U20" s="18">
        <v>1.75</v>
      </c>
      <c r="V20" s="18">
        <v>1.76</v>
      </c>
      <c r="W20" s="18">
        <v>1.77</v>
      </c>
      <c r="X20" s="18">
        <v>1.78</v>
      </c>
      <c r="Y20" s="18">
        <v>1.79</v>
      </c>
      <c r="Z20" s="18">
        <v>1.8</v>
      </c>
    </row>
    <row r="21" spans="2:26" x14ac:dyDescent="0.25">
      <c r="F21" s="17">
        <v>60</v>
      </c>
      <c r="G21">
        <f t="dataTable" ref="G21:Z41" dt2D="1" dtr="1" r1="C16" r2="C17"/>
        <v>23.147255121330193</v>
      </c>
      <c r="H21">
        <v>22.862368541380881</v>
      </c>
      <c r="I21">
        <v>22.582709172343712</v>
      </c>
      <c r="J21">
        <v>22.308149910767405</v>
      </c>
      <c r="K21">
        <v>22.03856749311295</v>
      </c>
      <c r="L21">
        <v>21.773842357381334</v>
      </c>
      <c r="M21">
        <v>21.513858510523864</v>
      </c>
      <c r="N21">
        <v>21.258503401360546</v>
      </c>
      <c r="O21">
        <v>21.007667798746546</v>
      </c>
      <c r="P21">
        <v>20.761245674740486</v>
      </c>
      <c r="Q21">
        <v>20.519134092541297</v>
      </c>
      <c r="R21">
        <v>20.281233098972418</v>
      </c>
      <c r="S21">
        <v>20.047445621303751</v>
      </c>
      <c r="T21">
        <v>19.817677368212443</v>
      </c>
      <c r="U21">
        <v>19.591836734693878</v>
      </c>
      <c r="V21">
        <v>19.369834710743802</v>
      </c>
      <c r="W21">
        <v>19.151584793641671</v>
      </c>
      <c r="X21">
        <v>18.937002903673779</v>
      </c>
      <c r="Y21">
        <v>18.726007303142847</v>
      </c>
      <c r="Z21">
        <v>18.518518518518519</v>
      </c>
    </row>
    <row r="22" spans="2:26" x14ac:dyDescent="0.25">
      <c r="F22" s="17">
        <v>61</v>
      </c>
      <c r="G22">
        <v>23.533042706685695</v>
      </c>
      <c r="H22">
        <v>23.243408017070564</v>
      </c>
      <c r="I22">
        <v>22.959087658549439</v>
      </c>
      <c r="J22">
        <v>22.679952409280194</v>
      </c>
      <c r="K22">
        <v>22.4058769513315</v>
      </c>
      <c r="L22">
        <v>22.136739730004358</v>
      </c>
      <c r="M22">
        <v>21.872422819032593</v>
      </c>
      <c r="N22">
        <v>21.612811791383223</v>
      </c>
      <c r="O22">
        <v>21.357795595392322</v>
      </c>
      <c r="P22">
        <v>21.107266435986162</v>
      </c>
      <c r="Q22">
        <v>20.861119660750319</v>
      </c>
      <c r="R22">
        <v>20.61925365062196</v>
      </c>
      <c r="S22">
        <v>20.381569714992146</v>
      </c>
      <c r="T22">
        <v>20.147971991015986</v>
      </c>
      <c r="U22">
        <v>19.918367346938776</v>
      </c>
      <c r="V22">
        <v>19.692665289256198</v>
      </c>
      <c r="W22">
        <v>19.470777873535699</v>
      </c>
      <c r="X22">
        <v>19.252619618735007</v>
      </c>
      <c r="Y22">
        <v>19.038107424861895</v>
      </c>
      <c r="Z22">
        <v>18.827160493827158</v>
      </c>
    </row>
    <row r="23" spans="2:26" x14ac:dyDescent="0.25">
      <c r="F23" s="17">
        <v>62</v>
      </c>
      <c r="G23">
        <v>23.9188302920412</v>
      </c>
      <c r="H23">
        <v>23.624447492760247</v>
      </c>
      <c r="I23">
        <v>23.335466144755166</v>
      </c>
      <c r="J23">
        <v>23.051754907792983</v>
      </c>
      <c r="K23">
        <v>22.77318640955005</v>
      </c>
      <c r="L23">
        <v>22.499637102627378</v>
      </c>
      <c r="M23">
        <v>22.230987127541326</v>
      </c>
      <c r="N23">
        <v>21.9671201814059</v>
      </c>
      <c r="O23">
        <v>21.707923392038097</v>
      </c>
      <c r="P23">
        <v>21.453287197231838</v>
      </c>
      <c r="Q23">
        <v>21.203105228959341</v>
      </c>
      <c r="R23">
        <v>20.957274202271499</v>
      </c>
      <c r="S23">
        <v>20.715693808680545</v>
      </c>
      <c r="T23">
        <v>20.478266613819528</v>
      </c>
      <c r="U23">
        <v>20.244897959183675</v>
      </c>
      <c r="V23">
        <v>20.015495867768596</v>
      </c>
      <c r="W23">
        <v>19.789970953429727</v>
      </c>
      <c r="X23">
        <v>19.568236333796236</v>
      </c>
      <c r="Y23">
        <v>19.350207546580943</v>
      </c>
      <c r="Z23">
        <v>19.1358024691358</v>
      </c>
    </row>
    <row r="24" spans="2:26" x14ac:dyDescent="0.25">
      <c r="F24" s="17">
        <v>63</v>
      </c>
      <c r="G24">
        <v>24.304617877396701</v>
      </c>
      <c r="H24">
        <v>24.005486968449926</v>
      </c>
      <c r="I24">
        <v>23.711844630960897</v>
      </c>
      <c r="J24">
        <v>23.423557406305775</v>
      </c>
      <c r="K24">
        <v>23.140495867768596</v>
      </c>
      <c r="L24">
        <v>22.862534475250399</v>
      </c>
      <c r="M24">
        <v>22.589551436050055</v>
      </c>
      <c r="N24">
        <v>22.321428571428577</v>
      </c>
      <c r="O24">
        <v>22.058051188683873</v>
      </c>
      <c r="P24">
        <v>21.79930795847751</v>
      </c>
      <c r="Q24">
        <v>21.545090797168363</v>
      </c>
      <c r="R24">
        <v>21.295294753921041</v>
      </c>
      <c r="S24">
        <v>21.04981790236894</v>
      </c>
      <c r="T24">
        <v>20.808561236623067</v>
      </c>
      <c r="U24">
        <v>20.571428571428573</v>
      </c>
      <c r="V24">
        <v>20.338326446280991</v>
      </c>
      <c r="W24">
        <v>20.109164033323754</v>
      </c>
      <c r="X24">
        <v>19.883853048857468</v>
      </c>
      <c r="Y24">
        <v>19.662307668299992</v>
      </c>
      <c r="Z24">
        <v>19.444444444444443</v>
      </c>
    </row>
    <row r="25" spans="2:26" x14ac:dyDescent="0.25">
      <c r="F25" s="17">
        <v>64</v>
      </c>
      <c r="G25">
        <v>24.690405462752206</v>
      </c>
      <c r="H25">
        <v>24.386526444139609</v>
      </c>
      <c r="I25">
        <v>24.088223117166624</v>
      </c>
      <c r="J25">
        <v>23.795359904818564</v>
      </c>
      <c r="K25">
        <v>23.507805325987146</v>
      </c>
      <c r="L25">
        <v>23.225431847873423</v>
      </c>
      <c r="M25">
        <v>22.948115744558788</v>
      </c>
      <c r="N25">
        <v>22.67573696145125</v>
      </c>
      <c r="O25">
        <v>22.408178985329648</v>
      </c>
      <c r="P25">
        <v>22.145328719723185</v>
      </c>
      <c r="Q25">
        <v>21.887076365377382</v>
      </c>
      <c r="R25">
        <v>21.63331530557058</v>
      </c>
      <c r="S25">
        <v>21.383941996057334</v>
      </c>
      <c r="T25">
        <v>21.138855859426609</v>
      </c>
      <c r="U25">
        <v>20.897959183673468</v>
      </c>
      <c r="V25">
        <v>20.66115702479339</v>
      </c>
      <c r="W25">
        <v>20.428357113217785</v>
      </c>
      <c r="X25">
        <v>20.199469763918696</v>
      </c>
      <c r="Y25">
        <v>19.97440779001904</v>
      </c>
      <c r="Z25">
        <v>19.753086419753085</v>
      </c>
    </row>
    <row r="26" spans="2:26" x14ac:dyDescent="0.25">
      <c r="F26" s="17">
        <v>65</v>
      </c>
      <c r="G26">
        <v>25.076193048107708</v>
      </c>
      <c r="H26">
        <v>24.767565919829291</v>
      </c>
      <c r="I26">
        <v>24.464601603372351</v>
      </c>
      <c r="J26">
        <v>24.167162403331353</v>
      </c>
      <c r="K26">
        <v>23.875114784205696</v>
      </c>
      <c r="L26">
        <v>23.588329220496444</v>
      </c>
      <c r="M26">
        <v>23.306680053067517</v>
      </c>
      <c r="N26">
        <v>23.030045351473927</v>
      </c>
      <c r="O26">
        <v>22.758306781975424</v>
      </c>
      <c r="P26">
        <v>22.491349480968861</v>
      </c>
      <c r="Q26">
        <v>22.229061933586404</v>
      </c>
      <c r="R26">
        <v>21.971335857220122</v>
      </c>
      <c r="S26">
        <v>21.718066089745729</v>
      </c>
      <c r="T26">
        <v>21.469150482230148</v>
      </c>
      <c r="U26">
        <v>21.224489795918366</v>
      </c>
      <c r="V26">
        <v>20.983987603305785</v>
      </c>
      <c r="W26">
        <v>20.747550193111813</v>
      </c>
      <c r="X26">
        <v>20.515086478979924</v>
      </c>
      <c r="Y26">
        <v>20.286507911738084</v>
      </c>
      <c r="Z26">
        <v>20.061728395061728</v>
      </c>
    </row>
    <row r="27" spans="2:26" x14ac:dyDescent="0.25">
      <c r="F27" s="17">
        <v>66</v>
      </c>
      <c r="G27">
        <v>25.461980633463213</v>
      </c>
      <c r="H27">
        <v>25.14860539551897</v>
      </c>
      <c r="I27">
        <v>24.840980089578082</v>
      </c>
      <c r="J27">
        <v>24.538964901844146</v>
      </c>
      <c r="K27">
        <v>24.242424242424246</v>
      </c>
      <c r="L27">
        <v>23.951226593119468</v>
      </c>
      <c r="M27">
        <v>23.665244361576249</v>
      </c>
      <c r="N27">
        <v>23.384353741496604</v>
      </c>
      <c r="O27">
        <v>23.1084345786212</v>
      </c>
      <c r="P27">
        <v>22.837370242214536</v>
      </c>
      <c r="Q27">
        <v>22.571047501795427</v>
      </c>
      <c r="R27">
        <v>22.309356408869661</v>
      </c>
      <c r="S27">
        <v>22.052190183434128</v>
      </c>
      <c r="T27">
        <v>21.799445105033691</v>
      </c>
      <c r="U27">
        <v>21.551020408163264</v>
      </c>
      <c r="V27">
        <v>21.306818181818183</v>
      </c>
      <c r="W27">
        <v>21.066743273005841</v>
      </c>
      <c r="X27">
        <v>20.830703194041156</v>
      </c>
      <c r="Y27">
        <v>20.598608033457133</v>
      </c>
      <c r="Z27">
        <v>20.37037037037037</v>
      </c>
    </row>
    <row r="28" spans="2:26" x14ac:dyDescent="0.25">
      <c r="F28" s="17">
        <v>67</v>
      </c>
      <c r="G28">
        <v>25.847768218818715</v>
      </c>
      <c r="H28">
        <v>25.529644871208653</v>
      </c>
      <c r="I28">
        <v>25.217358575783809</v>
      </c>
      <c r="J28">
        <v>24.910767400356935</v>
      </c>
      <c r="K28">
        <v>24.609733700642796</v>
      </c>
      <c r="L28">
        <v>24.314123965742489</v>
      </c>
      <c r="M28">
        <v>24.023808670084982</v>
      </c>
      <c r="N28">
        <v>23.738662131519277</v>
      </c>
      <c r="O28">
        <v>23.458562375266975</v>
      </c>
      <c r="P28">
        <v>23.183391003460208</v>
      </c>
      <c r="Q28">
        <v>22.913033070004449</v>
      </c>
      <c r="R28">
        <v>22.647376960519203</v>
      </c>
      <c r="S28">
        <v>22.386314277122523</v>
      </c>
      <c r="T28">
        <v>22.129739727837229</v>
      </c>
      <c r="U28">
        <v>21.877551020408163</v>
      </c>
      <c r="V28">
        <v>21.629648760330578</v>
      </c>
      <c r="W28">
        <v>21.385936352899868</v>
      </c>
      <c r="X28">
        <v>21.146319909102385</v>
      </c>
      <c r="Y28">
        <v>20.910708155176181</v>
      </c>
      <c r="Z28">
        <v>20.679012345679013</v>
      </c>
    </row>
    <row r="29" spans="2:26" x14ac:dyDescent="0.25">
      <c r="F29" s="17">
        <v>68</v>
      </c>
      <c r="G29">
        <v>26.23355580417422</v>
      </c>
      <c r="H29">
        <v>25.910684346898332</v>
      </c>
      <c r="I29">
        <v>25.59373706198954</v>
      </c>
      <c r="J29">
        <v>25.282569898869724</v>
      </c>
      <c r="K29">
        <v>24.977043158861342</v>
      </c>
      <c r="L29">
        <v>24.677021338365513</v>
      </c>
      <c r="M29">
        <v>24.382372978593711</v>
      </c>
      <c r="N29">
        <v>24.092970521541954</v>
      </c>
      <c r="O29">
        <v>23.808690171912751</v>
      </c>
      <c r="P29">
        <v>23.529411764705884</v>
      </c>
      <c r="Q29">
        <v>23.255018638213471</v>
      </c>
      <c r="R29">
        <v>22.985397512168742</v>
      </c>
      <c r="S29">
        <v>22.720438370810918</v>
      </c>
      <c r="T29">
        <v>22.460034350640772</v>
      </c>
      <c r="U29">
        <v>22.204081632653061</v>
      </c>
      <c r="V29">
        <v>21.952479338842977</v>
      </c>
      <c r="W29">
        <v>21.705129432793896</v>
      </c>
      <c r="X29">
        <v>21.461936624163616</v>
      </c>
      <c r="Y29">
        <v>21.222808276895229</v>
      </c>
      <c r="Z29">
        <v>20.987654320987652</v>
      </c>
    </row>
    <row r="30" spans="2:26" x14ac:dyDescent="0.25">
      <c r="F30" s="17">
        <v>69</v>
      </c>
      <c r="G30">
        <v>26.619343389529721</v>
      </c>
      <c r="H30">
        <v>26.291723822588015</v>
      </c>
      <c r="I30">
        <v>25.970115548195267</v>
      </c>
      <c r="J30">
        <v>25.654372397382513</v>
      </c>
      <c r="K30">
        <v>25.344352617079892</v>
      </c>
      <c r="L30">
        <v>25.039918710988534</v>
      </c>
      <c r="M30">
        <v>24.740937287102444</v>
      </c>
      <c r="N30">
        <v>24.447278911564631</v>
      </c>
      <c r="O30">
        <v>24.158817968558527</v>
      </c>
      <c r="P30">
        <v>23.87543252595156</v>
      </c>
      <c r="Q30">
        <v>23.59700420642249</v>
      </c>
      <c r="R30">
        <v>23.323418063818284</v>
      </c>
      <c r="S30">
        <v>23.054562464499313</v>
      </c>
      <c r="T30">
        <v>22.790328973444311</v>
      </c>
      <c r="U30">
        <v>22.530612244897959</v>
      </c>
      <c r="V30">
        <v>22.275309917355372</v>
      </c>
      <c r="W30">
        <v>22.024322512687924</v>
      </c>
      <c r="X30">
        <v>21.777553339224845</v>
      </c>
      <c r="Y30">
        <v>21.534908398614277</v>
      </c>
      <c r="Z30">
        <v>21.296296296296294</v>
      </c>
    </row>
    <row r="31" spans="2:26" x14ac:dyDescent="0.25">
      <c r="F31" s="17">
        <v>70</v>
      </c>
      <c r="G31">
        <v>27.005130974885226</v>
      </c>
      <c r="H31">
        <v>26.672763298277697</v>
      </c>
      <c r="I31">
        <v>26.346494034400994</v>
      </c>
      <c r="J31">
        <v>26.026174895895306</v>
      </c>
      <c r="K31">
        <v>25.711662075298442</v>
      </c>
      <c r="L31">
        <v>25.402816083611555</v>
      </c>
      <c r="M31">
        <v>25.099501595611173</v>
      </c>
      <c r="N31">
        <v>24.801587301587304</v>
      </c>
      <c r="O31">
        <v>24.508945765204302</v>
      </c>
      <c r="P31">
        <v>24.221453287197235</v>
      </c>
      <c r="Q31">
        <v>23.938989774631512</v>
      </c>
      <c r="R31">
        <v>23.661438615467823</v>
      </c>
      <c r="S31">
        <v>23.388686558187711</v>
      </c>
      <c r="T31">
        <v>23.120623596247853</v>
      </c>
      <c r="U31">
        <v>22.857142857142858</v>
      </c>
      <c r="V31">
        <v>22.598140495867771</v>
      </c>
      <c r="W31">
        <v>22.343515592581952</v>
      </c>
      <c r="X31">
        <v>22.093170054286073</v>
      </c>
      <c r="Y31">
        <v>21.847008520333322</v>
      </c>
      <c r="Z31">
        <v>21.604938271604937</v>
      </c>
    </row>
    <row r="32" spans="2:26" x14ac:dyDescent="0.25">
      <c r="F32" s="17">
        <v>71</v>
      </c>
      <c r="G32">
        <v>27.390918560240728</v>
      </c>
      <c r="H32">
        <v>27.053802773967377</v>
      </c>
      <c r="I32">
        <v>26.722872520606725</v>
      </c>
      <c r="J32">
        <v>26.397977394408095</v>
      </c>
      <c r="K32">
        <v>26.078971533516992</v>
      </c>
      <c r="L32">
        <v>25.765713456234579</v>
      </c>
      <c r="M32">
        <v>25.458065904119906</v>
      </c>
      <c r="N32">
        <v>25.155895691609981</v>
      </c>
      <c r="O32">
        <v>24.859073561850078</v>
      </c>
      <c r="P32">
        <v>24.567474048442911</v>
      </c>
      <c r="Q32">
        <v>24.280975342840534</v>
      </c>
      <c r="R32">
        <v>23.999459167117362</v>
      </c>
      <c r="S32">
        <v>23.722810651876106</v>
      </c>
      <c r="T32">
        <v>23.450918219051392</v>
      </c>
      <c r="U32">
        <v>23.183673469387756</v>
      </c>
      <c r="V32">
        <v>22.920971074380166</v>
      </c>
      <c r="W32">
        <v>22.662708672475979</v>
      </c>
      <c r="X32">
        <v>22.408786769347305</v>
      </c>
      <c r="Y32">
        <v>22.15910864205237</v>
      </c>
      <c r="Z32">
        <v>21.913580246913579</v>
      </c>
    </row>
    <row r="33" spans="6:26" x14ac:dyDescent="0.25">
      <c r="F33" s="17">
        <v>72</v>
      </c>
      <c r="G33">
        <v>27.776706145596233</v>
      </c>
      <c r="H33">
        <v>27.434842249657059</v>
      </c>
      <c r="I33">
        <v>27.099251006812452</v>
      </c>
      <c r="J33">
        <v>26.769779892920884</v>
      </c>
      <c r="K33">
        <v>26.446280991735541</v>
      </c>
      <c r="L33">
        <v>26.1286108288576</v>
      </c>
      <c r="M33">
        <v>25.816630212628635</v>
      </c>
      <c r="N33">
        <v>25.510204081632658</v>
      </c>
      <c r="O33">
        <v>25.209201358495854</v>
      </c>
      <c r="P33">
        <v>24.913494809688583</v>
      </c>
      <c r="Q33">
        <v>24.622960911049557</v>
      </c>
      <c r="R33">
        <v>24.337479718766904</v>
      </c>
      <c r="S33">
        <v>24.056934745564501</v>
      </c>
      <c r="T33">
        <v>23.781212841854934</v>
      </c>
      <c r="U33">
        <v>23.510204081632654</v>
      </c>
      <c r="V33">
        <v>23.243801652892564</v>
      </c>
      <c r="W33">
        <v>22.981901752370007</v>
      </c>
      <c r="X33">
        <v>22.724403484408533</v>
      </c>
      <c r="Y33">
        <v>22.471208763771418</v>
      </c>
      <c r="Z33">
        <v>22.222222222222221</v>
      </c>
    </row>
    <row r="34" spans="6:26" x14ac:dyDescent="0.25">
      <c r="F34" s="17">
        <v>73</v>
      </c>
      <c r="G34">
        <v>28.162493730951734</v>
      </c>
      <c r="H34">
        <v>27.815881725346742</v>
      </c>
      <c r="I34">
        <v>27.475629493018182</v>
      </c>
      <c r="J34">
        <v>27.141582391433676</v>
      </c>
      <c r="K34">
        <v>26.813590449954088</v>
      </c>
      <c r="L34">
        <v>26.491508201480624</v>
      </c>
      <c r="M34">
        <v>26.175194521137367</v>
      </c>
      <c r="N34">
        <v>25.864512471655331</v>
      </c>
      <c r="O34">
        <v>25.559329155141629</v>
      </c>
      <c r="P34">
        <v>25.259515570934258</v>
      </c>
      <c r="Q34">
        <v>24.964946479258579</v>
      </c>
      <c r="R34">
        <v>24.675500270416443</v>
      </c>
      <c r="S34">
        <v>24.391058839252899</v>
      </c>
      <c r="T34">
        <v>24.111507464658473</v>
      </c>
      <c r="U34">
        <v>23.836734693877553</v>
      </c>
      <c r="V34">
        <v>23.566632231404959</v>
      </c>
      <c r="W34">
        <v>23.301094832264035</v>
      </c>
      <c r="X34">
        <v>23.040020199469762</v>
      </c>
      <c r="Y34">
        <v>22.783308885490467</v>
      </c>
      <c r="Z34">
        <v>22.530864197530864</v>
      </c>
    </row>
    <row r="35" spans="6:26" x14ac:dyDescent="0.25">
      <c r="F35" s="17">
        <v>74</v>
      </c>
      <c r="G35">
        <v>28.548281316307239</v>
      </c>
      <c r="H35">
        <v>28.196921201036421</v>
      </c>
      <c r="I35">
        <v>27.852007979223909</v>
      </c>
      <c r="J35">
        <v>27.513384889946465</v>
      </c>
      <c r="K35">
        <v>27.180899908172638</v>
      </c>
      <c r="L35">
        <v>26.854405574103644</v>
      </c>
      <c r="M35">
        <v>26.533758829646096</v>
      </c>
      <c r="N35">
        <v>26.218820861678008</v>
      </c>
      <c r="O35">
        <v>25.909456951787405</v>
      </c>
      <c r="P35">
        <v>25.605536332179934</v>
      </c>
      <c r="Q35">
        <v>25.306932047467601</v>
      </c>
      <c r="R35">
        <v>25.013520822065985</v>
      </c>
      <c r="S35">
        <v>24.725182932941294</v>
      </c>
      <c r="T35">
        <v>24.441802087462015</v>
      </c>
      <c r="U35">
        <v>24.163265306122447</v>
      </c>
      <c r="V35">
        <v>23.889462809917354</v>
      </c>
      <c r="W35">
        <v>23.620287912158062</v>
      </c>
      <c r="X35">
        <v>23.355636914530994</v>
      </c>
      <c r="Y35">
        <v>23.095409007209515</v>
      </c>
      <c r="Z35">
        <v>22.839506172839506</v>
      </c>
    </row>
    <row r="36" spans="6:26" x14ac:dyDescent="0.25">
      <c r="F36" s="17">
        <v>75</v>
      </c>
      <c r="G36">
        <v>28.934068901662741</v>
      </c>
      <c r="H36">
        <v>28.577960676726104</v>
      </c>
      <c r="I36">
        <v>28.228386465429637</v>
      </c>
      <c r="J36">
        <v>27.885187388459254</v>
      </c>
      <c r="K36">
        <v>27.548209366391188</v>
      </c>
      <c r="L36">
        <v>27.217302946726669</v>
      </c>
      <c r="M36">
        <v>26.892323138154829</v>
      </c>
      <c r="N36">
        <v>26.573129251700685</v>
      </c>
      <c r="O36">
        <v>26.259584748433181</v>
      </c>
      <c r="P36">
        <v>25.95155709342561</v>
      </c>
      <c r="Q36">
        <v>25.64891761567662</v>
      </c>
      <c r="R36">
        <v>25.351541373715524</v>
      </c>
      <c r="S36">
        <v>25.059307026629689</v>
      </c>
      <c r="T36">
        <v>24.772096710265558</v>
      </c>
      <c r="U36">
        <v>24.489795918367346</v>
      </c>
      <c r="V36">
        <v>24.212293388429753</v>
      </c>
      <c r="W36">
        <v>23.93948099205209</v>
      </c>
      <c r="X36">
        <v>23.671253629592222</v>
      </c>
      <c r="Y36">
        <v>23.40750912892856</v>
      </c>
      <c r="Z36">
        <v>23.148148148148145</v>
      </c>
    </row>
    <row r="37" spans="6:26" x14ac:dyDescent="0.25">
      <c r="F37" s="17">
        <v>76</v>
      </c>
      <c r="G37">
        <v>29.319856487018246</v>
      </c>
      <c r="H37">
        <v>28.959000152415786</v>
      </c>
      <c r="I37">
        <v>28.604764951635367</v>
      </c>
      <c r="J37">
        <v>28.256989886972047</v>
      </c>
      <c r="K37">
        <v>27.915518824609737</v>
      </c>
      <c r="L37">
        <v>27.580200319349689</v>
      </c>
      <c r="M37">
        <v>27.250887446663558</v>
      </c>
      <c r="N37">
        <v>26.927437641723358</v>
      </c>
      <c r="O37">
        <v>26.609712545078956</v>
      </c>
      <c r="P37">
        <v>26.297577854671282</v>
      </c>
      <c r="Q37">
        <v>25.990903183885642</v>
      </c>
      <c r="R37">
        <v>25.689561925365066</v>
      </c>
      <c r="S37">
        <v>25.393431120318084</v>
      </c>
      <c r="T37">
        <v>25.102391333069097</v>
      </c>
      <c r="U37">
        <v>24.816326530612244</v>
      </c>
      <c r="V37">
        <v>24.535123966942148</v>
      </c>
      <c r="W37">
        <v>24.258674071946118</v>
      </c>
      <c r="X37">
        <v>23.98687034465345</v>
      </c>
      <c r="Y37">
        <v>23.719609250647608</v>
      </c>
      <c r="Z37">
        <v>23.456790123456788</v>
      </c>
    </row>
    <row r="38" spans="6:26" x14ac:dyDescent="0.25">
      <c r="F38" s="17">
        <v>77</v>
      </c>
      <c r="G38">
        <v>29.705644072373747</v>
      </c>
      <c r="H38">
        <v>29.340039628105465</v>
      </c>
      <c r="I38">
        <v>28.981143437841094</v>
      </c>
      <c r="J38">
        <v>28.628792385484836</v>
      </c>
      <c r="K38">
        <v>28.282828282828287</v>
      </c>
      <c r="L38">
        <v>27.94309769197271</v>
      </c>
      <c r="M38">
        <v>27.609451755172291</v>
      </c>
      <c r="N38">
        <v>27.281746031746035</v>
      </c>
      <c r="O38">
        <v>26.959840341724732</v>
      </c>
      <c r="P38">
        <v>26.643598615916957</v>
      </c>
      <c r="Q38">
        <v>26.332888752094664</v>
      </c>
      <c r="R38">
        <v>26.027582477014604</v>
      </c>
      <c r="S38">
        <v>25.727555214006482</v>
      </c>
      <c r="T38">
        <v>25.432685955872639</v>
      </c>
      <c r="U38">
        <v>25.142857142857142</v>
      </c>
      <c r="V38">
        <v>24.857954545454547</v>
      </c>
      <c r="W38">
        <v>24.577867151840145</v>
      </c>
      <c r="X38">
        <v>24.302487059714682</v>
      </c>
      <c r="Y38">
        <v>24.031709372366656</v>
      </c>
      <c r="Z38">
        <v>23.76543209876543</v>
      </c>
    </row>
    <row r="39" spans="6:26" x14ac:dyDescent="0.25">
      <c r="F39" s="17">
        <v>78</v>
      </c>
      <c r="G39">
        <v>30.091431657729252</v>
      </c>
      <c r="H39">
        <v>29.721079103795148</v>
      </c>
      <c r="I39">
        <v>29.357521924046825</v>
      </c>
      <c r="J39">
        <v>29.000594883997625</v>
      </c>
      <c r="K39">
        <v>28.650137741046834</v>
      </c>
      <c r="L39">
        <v>28.305995064595734</v>
      </c>
      <c r="M39">
        <v>27.968016063681024</v>
      </c>
      <c r="N39">
        <v>27.636054421768712</v>
      </c>
      <c r="O39">
        <v>27.309968138370508</v>
      </c>
      <c r="P39">
        <v>26.989619377162633</v>
      </c>
      <c r="Q39">
        <v>26.674874320303687</v>
      </c>
      <c r="R39">
        <v>26.365603028664147</v>
      </c>
      <c r="S39">
        <v>26.061679307694877</v>
      </c>
      <c r="T39">
        <v>25.762980578676178</v>
      </c>
      <c r="U39">
        <v>25.469387755102041</v>
      </c>
      <c r="V39">
        <v>25.180785123966942</v>
      </c>
      <c r="W39">
        <v>24.897060231734173</v>
      </c>
      <c r="X39">
        <v>24.618103774775911</v>
      </c>
      <c r="Y39">
        <v>24.343809494085704</v>
      </c>
      <c r="Z39">
        <v>24.074074074074073</v>
      </c>
    </row>
    <row r="40" spans="6:26" x14ac:dyDescent="0.25">
      <c r="F40" s="17">
        <v>79</v>
      </c>
      <c r="G40">
        <v>30.477219243084754</v>
      </c>
      <c r="H40">
        <v>30.102118579484827</v>
      </c>
      <c r="I40">
        <v>29.733900410252552</v>
      </c>
      <c r="J40">
        <v>29.372397382510414</v>
      </c>
      <c r="K40">
        <v>29.017447199265384</v>
      </c>
      <c r="L40">
        <v>28.668892437218755</v>
      </c>
      <c r="M40">
        <v>28.326580372189753</v>
      </c>
      <c r="N40">
        <v>27.990362811791389</v>
      </c>
      <c r="O40">
        <v>27.660095935016283</v>
      </c>
      <c r="P40">
        <v>27.335640138408309</v>
      </c>
      <c r="Q40">
        <v>27.016859888512709</v>
      </c>
      <c r="R40">
        <v>26.703623580313685</v>
      </c>
      <c r="S40">
        <v>26.395803401383272</v>
      </c>
      <c r="T40">
        <v>26.09327520147972</v>
      </c>
      <c r="U40">
        <v>25.795918367346939</v>
      </c>
      <c r="V40">
        <v>25.50361570247934</v>
      </c>
      <c r="W40">
        <v>25.216253311628201</v>
      </c>
      <c r="X40">
        <v>24.933720489837143</v>
      </c>
      <c r="Y40">
        <v>24.655909615804749</v>
      </c>
      <c r="Z40">
        <v>24.382716049382715</v>
      </c>
    </row>
    <row r="41" spans="6:26" x14ac:dyDescent="0.25">
      <c r="F41" s="17">
        <v>80</v>
      </c>
      <c r="G41">
        <v>30.863006828440259</v>
      </c>
      <c r="H41">
        <v>30.48315805517451</v>
      </c>
      <c r="I41">
        <v>30.110278896458279</v>
      </c>
      <c r="J41">
        <v>29.744199881023206</v>
      </c>
      <c r="K41">
        <v>29.384756657483933</v>
      </c>
      <c r="L41">
        <v>29.031789809841779</v>
      </c>
      <c r="M41">
        <v>28.685144680698485</v>
      </c>
      <c r="N41">
        <v>28.344671201814062</v>
      </c>
      <c r="O41">
        <v>28.010223731662059</v>
      </c>
      <c r="P41">
        <v>27.681660899653981</v>
      </c>
      <c r="Q41">
        <v>27.358845456721728</v>
      </c>
      <c r="R41">
        <v>27.041644131963228</v>
      </c>
      <c r="S41">
        <v>26.729927495071667</v>
      </c>
      <c r="T41">
        <v>26.423569824283259</v>
      </c>
      <c r="U41">
        <v>26.122448979591837</v>
      </c>
      <c r="V41">
        <v>25.826446280991735</v>
      </c>
      <c r="W41">
        <v>25.535446391522228</v>
      </c>
      <c r="X41">
        <v>25.249337204898371</v>
      </c>
      <c r="Y41">
        <v>24.968009737523797</v>
      </c>
      <c r="Z41">
        <v>24.691358024691358</v>
      </c>
    </row>
  </sheetData>
  <scenarios current="0" show="0" sqref="C4">
    <scenario name="Brutto_WorstCase" locked="1" count="2" user="Nils Gerisch" comment="Erstellt von Nils Gerisch am 17.10.2025">
      <inputCells r="C2" val="50000"/>
      <inputCells r="C3" val="13200"/>
    </scenario>
    <scenario name="Bruto_BestCase" locked="1" count="2" user="Nils Gerisch" comment="Erstellt von Nils Gerisch am 17.10.2025">
      <inputCells r="C2" val="150000"/>
      <inputCells r="C3" val="26000"/>
    </scenario>
  </scenario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2F8DB-BF78-4020-ADFB-49CCDD21D5DA}">
  <dimension ref="A1:B151"/>
  <sheetViews>
    <sheetView tabSelected="1" topLeftCell="C1" workbookViewId="0">
      <selection activeCell="P33" sqref="P33"/>
    </sheetView>
  </sheetViews>
  <sheetFormatPr baseColWidth="10" defaultRowHeight="15" x14ac:dyDescent="0.25"/>
  <cols>
    <col min="1" max="1" width="19.28515625" bestFit="1" customWidth="1"/>
  </cols>
  <sheetData>
    <row r="1" spans="1:2" x14ac:dyDescent="0.25">
      <c r="A1" s="19" t="s">
        <v>15</v>
      </c>
      <c r="B1" s="19" t="s">
        <v>16</v>
      </c>
    </row>
    <row r="2" spans="1:2" x14ac:dyDescent="0.25">
      <c r="A2" s="20" t="s">
        <v>17</v>
      </c>
      <c r="B2" s="20">
        <v>56</v>
      </c>
    </row>
    <row r="3" spans="1:2" x14ac:dyDescent="0.25">
      <c r="A3" s="20" t="s">
        <v>18</v>
      </c>
      <c r="B3" s="20">
        <v>75</v>
      </c>
    </row>
    <row r="4" spans="1:2" x14ac:dyDescent="0.25">
      <c r="A4" s="20" t="s">
        <v>19</v>
      </c>
      <c r="B4" s="20">
        <v>58</v>
      </c>
    </row>
    <row r="5" spans="1:2" x14ac:dyDescent="0.25">
      <c r="A5" s="20" t="s">
        <v>20</v>
      </c>
      <c r="B5" s="20">
        <v>45</v>
      </c>
    </row>
    <row r="6" spans="1:2" x14ac:dyDescent="0.25">
      <c r="A6" s="20" t="s">
        <v>21</v>
      </c>
      <c r="B6" s="20">
        <v>24</v>
      </c>
    </row>
    <row r="7" spans="1:2" x14ac:dyDescent="0.25">
      <c r="A7" s="20" t="s">
        <v>22</v>
      </c>
      <c r="B7" s="20">
        <v>26</v>
      </c>
    </row>
    <row r="8" spans="1:2" x14ac:dyDescent="0.25">
      <c r="A8" s="20" t="s">
        <v>23</v>
      </c>
      <c r="B8" s="20">
        <v>25</v>
      </c>
    </row>
    <row r="9" spans="1:2" x14ac:dyDescent="0.25">
      <c r="A9" s="20" t="s">
        <v>24</v>
      </c>
      <c r="B9" s="20">
        <v>29</v>
      </c>
    </row>
    <row r="10" spans="1:2" x14ac:dyDescent="0.25">
      <c r="A10" s="20" t="s">
        <v>25</v>
      </c>
      <c r="B10" s="20">
        <v>51</v>
      </c>
    </row>
    <row r="11" spans="1:2" x14ac:dyDescent="0.25">
      <c r="A11" s="20" t="s">
        <v>26</v>
      </c>
      <c r="B11" s="20">
        <v>50</v>
      </c>
    </row>
    <row r="12" spans="1:2" x14ac:dyDescent="0.25">
      <c r="A12" s="20" t="s">
        <v>27</v>
      </c>
      <c r="B12" s="20">
        <v>65</v>
      </c>
    </row>
    <row r="13" spans="1:2" x14ac:dyDescent="0.25">
      <c r="A13" s="20" t="s">
        <v>28</v>
      </c>
      <c r="B13" s="20">
        <v>72</v>
      </c>
    </row>
    <row r="14" spans="1:2" x14ac:dyDescent="0.25">
      <c r="A14" s="20" t="s">
        <v>29</v>
      </c>
      <c r="B14" s="20">
        <v>40</v>
      </c>
    </row>
    <row r="15" spans="1:2" x14ac:dyDescent="0.25">
      <c r="A15" s="20" t="s">
        <v>30</v>
      </c>
      <c r="B15" s="20">
        <v>79</v>
      </c>
    </row>
    <row r="16" spans="1:2" x14ac:dyDescent="0.25">
      <c r="A16" s="20" t="s">
        <v>31</v>
      </c>
      <c r="B16" s="20">
        <v>41</v>
      </c>
    </row>
    <row r="17" spans="1:2" x14ac:dyDescent="0.25">
      <c r="A17" s="20" t="s">
        <v>32</v>
      </c>
      <c r="B17" s="20">
        <v>54</v>
      </c>
    </row>
    <row r="18" spans="1:2" x14ac:dyDescent="0.25">
      <c r="A18" s="20" t="s">
        <v>33</v>
      </c>
      <c r="B18" s="20">
        <v>52</v>
      </c>
    </row>
    <row r="19" spans="1:2" x14ac:dyDescent="0.25">
      <c r="A19" s="20" t="s">
        <v>34</v>
      </c>
      <c r="B19" s="20">
        <v>61</v>
      </c>
    </row>
    <row r="20" spans="1:2" x14ac:dyDescent="0.25">
      <c r="A20" s="20" t="s">
        <v>35</v>
      </c>
      <c r="B20" s="20">
        <v>57</v>
      </c>
    </row>
    <row r="21" spans="1:2" x14ac:dyDescent="0.25">
      <c r="A21" s="20" t="s">
        <v>36</v>
      </c>
      <c r="B21" s="20">
        <v>39</v>
      </c>
    </row>
    <row r="22" spans="1:2" x14ac:dyDescent="0.25">
      <c r="A22" s="20" t="s">
        <v>37</v>
      </c>
      <c r="B22" s="20">
        <v>44</v>
      </c>
    </row>
    <row r="23" spans="1:2" x14ac:dyDescent="0.25">
      <c r="A23" s="20" t="s">
        <v>38</v>
      </c>
      <c r="B23" s="20">
        <v>52</v>
      </c>
    </row>
    <row r="24" spans="1:2" x14ac:dyDescent="0.25">
      <c r="A24" s="20" t="s">
        <v>39</v>
      </c>
      <c r="B24" s="20">
        <v>18</v>
      </c>
    </row>
    <row r="25" spans="1:2" x14ac:dyDescent="0.25">
      <c r="A25" s="20" t="s">
        <v>40</v>
      </c>
      <c r="B25" s="20">
        <v>52</v>
      </c>
    </row>
    <row r="26" spans="1:2" x14ac:dyDescent="0.25">
      <c r="A26" s="20" t="s">
        <v>41</v>
      </c>
      <c r="B26" s="20">
        <v>54</v>
      </c>
    </row>
    <row r="27" spans="1:2" x14ac:dyDescent="0.25">
      <c r="A27" s="20" t="s">
        <v>42</v>
      </c>
      <c r="B27" s="20">
        <v>64</v>
      </c>
    </row>
    <row r="28" spans="1:2" x14ac:dyDescent="0.25">
      <c r="A28" s="20" t="s">
        <v>43</v>
      </c>
      <c r="B28" s="20">
        <v>31</v>
      </c>
    </row>
    <row r="29" spans="1:2" x14ac:dyDescent="0.25">
      <c r="A29" s="20" t="s">
        <v>44</v>
      </c>
      <c r="B29" s="20">
        <v>20</v>
      </c>
    </row>
    <row r="30" spans="1:2" x14ac:dyDescent="0.25">
      <c r="A30" s="20" t="s">
        <v>45</v>
      </c>
      <c r="B30" s="20">
        <v>18</v>
      </c>
    </row>
    <row r="31" spans="1:2" x14ac:dyDescent="0.25">
      <c r="A31" s="20" t="s">
        <v>46</v>
      </c>
      <c r="B31" s="20">
        <v>22</v>
      </c>
    </row>
    <row r="32" spans="1:2" x14ac:dyDescent="0.25">
      <c r="A32" s="20" t="s">
        <v>47</v>
      </c>
      <c r="B32" s="20">
        <v>43</v>
      </c>
    </row>
    <row r="33" spans="1:2" x14ac:dyDescent="0.25">
      <c r="A33" s="20" t="s">
        <v>48</v>
      </c>
      <c r="B33" s="20">
        <v>72</v>
      </c>
    </row>
    <row r="34" spans="1:2" x14ac:dyDescent="0.25">
      <c r="A34" s="20" t="s">
        <v>49</v>
      </c>
      <c r="B34" s="20">
        <v>31</v>
      </c>
    </row>
    <row r="35" spans="1:2" x14ac:dyDescent="0.25">
      <c r="A35" s="20" t="s">
        <v>50</v>
      </c>
      <c r="B35" s="20">
        <v>56</v>
      </c>
    </row>
    <row r="36" spans="1:2" x14ac:dyDescent="0.25">
      <c r="A36" s="20" t="s">
        <v>51</v>
      </c>
      <c r="B36" s="20">
        <v>44</v>
      </c>
    </row>
    <row r="37" spans="1:2" x14ac:dyDescent="0.25">
      <c r="A37" s="20" t="s">
        <v>52</v>
      </c>
      <c r="B37" s="20">
        <v>26</v>
      </c>
    </row>
    <row r="38" spans="1:2" x14ac:dyDescent="0.25">
      <c r="A38" s="20" t="s">
        <v>53</v>
      </c>
      <c r="B38" s="20">
        <v>32</v>
      </c>
    </row>
    <row r="39" spans="1:2" x14ac:dyDescent="0.25">
      <c r="A39" s="20" t="s">
        <v>54</v>
      </c>
      <c r="B39" s="20">
        <v>32</v>
      </c>
    </row>
    <row r="40" spans="1:2" x14ac:dyDescent="0.25">
      <c r="A40" s="20" t="s">
        <v>55</v>
      </c>
      <c r="B40" s="20">
        <v>43</v>
      </c>
    </row>
    <row r="41" spans="1:2" x14ac:dyDescent="0.25">
      <c r="A41" s="20" t="s">
        <v>48</v>
      </c>
      <c r="B41" s="20">
        <v>59</v>
      </c>
    </row>
    <row r="42" spans="1:2" x14ac:dyDescent="0.25">
      <c r="A42" s="20" t="s">
        <v>54</v>
      </c>
      <c r="B42" s="20">
        <v>77</v>
      </c>
    </row>
    <row r="43" spans="1:2" x14ac:dyDescent="0.25">
      <c r="A43" s="20" t="s">
        <v>56</v>
      </c>
      <c r="B43" s="20">
        <v>30</v>
      </c>
    </row>
    <row r="44" spans="1:2" x14ac:dyDescent="0.25">
      <c r="A44" s="20" t="s">
        <v>57</v>
      </c>
      <c r="B44" s="20">
        <v>68</v>
      </c>
    </row>
    <row r="45" spans="1:2" x14ac:dyDescent="0.25">
      <c r="A45" s="20" t="s">
        <v>58</v>
      </c>
      <c r="B45" s="20">
        <v>49</v>
      </c>
    </row>
    <row r="46" spans="1:2" x14ac:dyDescent="0.25">
      <c r="A46" s="20" t="s">
        <v>52</v>
      </c>
      <c r="B46" s="20">
        <v>56</v>
      </c>
    </row>
    <row r="47" spans="1:2" x14ac:dyDescent="0.25">
      <c r="A47" s="20" t="s">
        <v>59</v>
      </c>
      <c r="B47" s="20">
        <v>66</v>
      </c>
    </row>
    <row r="48" spans="1:2" x14ac:dyDescent="0.25">
      <c r="A48" s="20" t="s">
        <v>60</v>
      </c>
      <c r="B48" s="20">
        <v>69</v>
      </c>
    </row>
    <row r="49" spans="1:2" x14ac:dyDescent="0.25">
      <c r="A49" s="20" t="s">
        <v>61</v>
      </c>
      <c r="B49" s="20">
        <v>78</v>
      </c>
    </row>
    <row r="50" spans="1:2" x14ac:dyDescent="0.25">
      <c r="A50" s="20" t="s">
        <v>62</v>
      </c>
      <c r="B50" s="20">
        <v>49</v>
      </c>
    </row>
    <row r="51" spans="1:2" x14ac:dyDescent="0.25">
      <c r="A51" s="20" t="s">
        <v>63</v>
      </c>
      <c r="B51" s="20">
        <v>21</v>
      </c>
    </row>
    <row r="52" spans="1:2" x14ac:dyDescent="0.25">
      <c r="A52" s="20" t="s">
        <v>64</v>
      </c>
      <c r="B52" s="20">
        <v>47</v>
      </c>
    </row>
    <row r="53" spans="1:2" x14ac:dyDescent="0.25">
      <c r="A53" s="20" t="s">
        <v>65</v>
      </c>
      <c r="B53" s="20">
        <v>54</v>
      </c>
    </row>
    <row r="54" spans="1:2" x14ac:dyDescent="0.25">
      <c r="A54" s="20" t="s">
        <v>66</v>
      </c>
      <c r="B54" s="20">
        <v>40</v>
      </c>
    </row>
    <row r="55" spans="1:2" x14ac:dyDescent="0.25">
      <c r="A55" s="20" t="s">
        <v>67</v>
      </c>
      <c r="B55" s="20">
        <v>56</v>
      </c>
    </row>
    <row r="56" spans="1:2" x14ac:dyDescent="0.25">
      <c r="A56" s="20" t="s">
        <v>68</v>
      </c>
      <c r="B56" s="20">
        <v>62</v>
      </c>
    </row>
    <row r="57" spans="1:2" x14ac:dyDescent="0.25">
      <c r="A57" s="20" t="s">
        <v>69</v>
      </c>
      <c r="B57" s="20">
        <v>32</v>
      </c>
    </row>
    <row r="58" spans="1:2" x14ac:dyDescent="0.25">
      <c r="A58" s="20" t="s">
        <v>70</v>
      </c>
      <c r="B58" s="20">
        <v>60</v>
      </c>
    </row>
    <row r="59" spans="1:2" x14ac:dyDescent="0.25">
      <c r="A59" s="20" t="s">
        <v>71</v>
      </c>
      <c r="B59" s="20">
        <v>46</v>
      </c>
    </row>
    <row r="60" spans="1:2" x14ac:dyDescent="0.25">
      <c r="A60" s="20" t="s">
        <v>72</v>
      </c>
      <c r="B60" s="20">
        <v>53</v>
      </c>
    </row>
    <row r="61" spans="1:2" x14ac:dyDescent="0.25">
      <c r="A61" s="20" t="s">
        <v>73</v>
      </c>
      <c r="B61" s="20">
        <v>30</v>
      </c>
    </row>
    <row r="62" spans="1:2" x14ac:dyDescent="0.25">
      <c r="A62" s="20" t="s">
        <v>35</v>
      </c>
      <c r="B62" s="20">
        <v>49</v>
      </c>
    </row>
    <row r="63" spans="1:2" x14ac:dyDescent="0.25">
      <c r="A63" s="20" t="s">
        <v>74</v>
      </c>
      <c r="B63" s="20">
        <v>24</v>
      </c>
    </row>
    <row r="64" spans="1:2" x14ac:dyDescent="0.25">
      <c r="A64" s="20" t="s">
        <v>75</v>
      </c>
      <c r="B64" s="20">
        <v>76</v>
      </c>
    </row>
    <row r="65" spans="1:2" x14ac:dyDescent="0.25">
      <c r="A65" s="20" t="s">
        <v>76</v>
      </c>
      <c r="B65" s="20">
        <v>68</v>
      </c>
    </row>
    <row r="66" spans="1:2" x14ac:dyDescent="0.25">
      <c r="A66" s="20" t="s">
        <v>77</v>
      </c>
      <c r="B66" s="20">
        <v>39</v>
      </c>
    </row>
    <row r="67" spans="1:2" x14ac:dyDescent="0.25">
      <c r="A67" s="20" t="s">
        <v>65</v>
      </c>
      <c r="B67" s="20">
        <v>45</v>
      </c>
    </row>
    <row r="68" spans="1:2" x14ac:dyDescent="0.25">
      <c r="A68" s="20" t="s">
        <v>34</v>
      </c>
      <c r="B68" s="20">
        <v>19</v>
      </c>
    </row>
    <row r="69" spans="1:2" x14ac:dyDescent="0.25">
      <c r="A69" s="20" t="s">
        <v>78</v>
      </c>
      <c r="B69" s="20">
        <v>59</v>
      </c>
    </row>
    <row r="70" spans="1:2" x14ac:dyDescent="0.25">
      <c r="A70" s="20" t="s">
        <v>55</v>
      </c>
      <c r="B70" s="20">
        <v>62</v>
      </c>
    </row>
    <row r="71" spans="1:2" x14ac:dyDescent="0.25">
      <c r="A71" s="20" t="s">
        <v>79</v>
      </c>
      <c r="B71" s="20">
        <v>79</v>
      </c>
    </row>
    <row r="72" spans="1:2" x14ac:dyDescent="0.25">
      <c r="A72" s="20" t="s">
        <v>80</v>
      </c>
      <c r="B72" s="20">
        <v>74</v>
      </c>
    </row>
    <row r="73" spans="1:2" x14ac:dyDescent="0.25">
      <c r="A73" s="20" t="s">
        <v>81</v>
      </c>
      <c r="B73" s="20">
        <v>70</v>
      </c>
    </row>
    <row r="74" spans="1:2" x14ac:dyDescent="0.25">
      <c r="A74" s="20" t="s">
        <v>82</v>
      </c>
      <c r="B74" s="20">
        <v>23</v>
      </c>
    </row>
    <row r="75" spans="1:2" x14ac:dyDescent="0.25">
      <c r="A75" s="20" t="s">
        <v>83</v>
      </c>
      <c r="B75" s="20">
        <v>45</v>
      </c>
    </row>
    <row r="76" spans="1:2" x14ac:dyDescent="0.25">
      <c r="A76" s="20" t="s">
        <v>84</v>
      </c>
      <c r="B76" s="20">
        <v>45</v>
      </c>
    </row>
    <row r="77" spans="1:2" x14ac:dyDescent="0.25">
      <c r="A77" s="20" t="s">
        <v>85</v>
      </c>
      <c r="B77" s="20">
        <v>61</v>
      </c>
    </row>
    <row r="78" spans="1:2" x14ac:dyDescent="0.25">
      <c r="A78" s="20" t="s">
        <v>86</v>
      </c>
      <c r="B78" s="20">
        <v>61</v>
      </c>
    </row>
    <row r="79" spans="1:2" x14ac:dyDescent="0.25">
      <c r="A79" s="20" t="s">
        <v>87</v>
      </c>
      <c r="B79" s="20">
        <v>37</v>
      </c>
    </row>
    <row r="80" spans="1:2" x14ac:dyDescent="0.25">
      <c r="A80" s="20" t="s">
        <v>88</v>
      </c>
      <c r="B80" s="20">
        <v>47</v>
      </c>
    </row>
    <row r="81" spans="1:2" x14ac:dyDescent="0.25">
      <c r="A81" s="20" t="s">
        <v>36</v>
      </c>
      <c r="B81" s="20">
        <v>79</v>
      </c>
    </row>
    <row r="82" spans="1:2" x14ac:dyDescent="0.25">
      <c r="A82" s="20" t="s">
        <v>89</v>
      </c>
      <c r="B82" s="20">
        <v>28</v>
      </c>
    </row>
    <row r="83" spans="1:2" x14ac:dyDescent="0.25">
      <c r="A83" s="20" t="s">
        <v>45</v>
      </c>
      <c r="B83" s="20">
        <v>75</v>
      </c>
    </row>
    <row r="84" spans="1:2" x14ac:dyDescent="0.25">
      <c r="A84" s="20" t="s">
        <v>90</v>
      </c>
      <c r="B84" s="20">
        <v>72</v>
      </c>
    </row>
    <row r="85" spans="1:2" x14ac:dyDescent="0.25">
      <c r="A85" s="20" t="s">
        <v>91</v>
      </c>
      <c r="B85" s="20">
        <v>45</v>
      </c>
    </row>
    <row r="86" spans="1:2" x14ac:dyDescent="0.25">
      <c r="A86" s="20" t="s">
        <v>41</v>
      </c>
      <c r="B86" s="20">
        <v>42</v>
      </c>
    </row>
    <row r="87" spans="1:2" x14ac:dyDescent="0.25">
      <c r="A87" s="20" t="s">
        <v>92</v>
      </c>
      <c r="B87" s="20">
        <v>56</v>
      </c>
    </row>
    <row r="88" spans="1:2" x14ac:dyDescent="0.25">
      <c r="A88" s="20" t="s">
        <v>93</v>
      </c>
      <c r="B88" s="20">
        <v>79</v>
      </c>
    </row>
    <row r="89" spans="1:2" x14ac:dyDescent="0.25">
      <c r="A89" s="20" t="s">
        <v>94</v>
      </c>
      <c r="B89" s="20">
        <v>50</v>
      </c>
    </row>
    <row r="90" spans="1:2" x14ac:dyDescent="0.25">
      <c r="A90" s="20" t="s">
        <v>25</v>
      </c>
      <c r="B90" s="20">
        <v>18</v>
      </c>
    </row>
    <row r="91" spans="1:2" x14ac:dyDescent="0.25">
      <c r="A91" s="20" t="s">
        <v>95</v>
      </c>
      <c r="B91" s="20">
        <v>74</v>
      </c>
    </row>
    <row r="92" spans="1:2" x14ac:dyDescent="0.25">
      <c r="A92" s="20" t="s">
        <v>96</v>
      </c>
      <c r="B92" s="20">
        <v>44</v>
      </c>
    </row>
    <row r="93" spans="1:2" x14ac:dyDescent="0.25">
      <c r="A93" s="20" t="s">
        <v>97</v>
      </c>
      <c r="B93" s="20">
        <v>79</v>
      </c>
    </row>
    <row r="94" spans="1:2" x14ac:dyDescent="0.25">
      <c r="A94" s="20" t="s">
        <v>98</v>
      </c>
      <c r="B94" s="20">
        <v>74</v>
      </c>
    </row>
    <row r="95" spans="1:2" x14ac:dyDescent="0.25">
      <c r="A95" s="20" t="s">
        <v>99</v>
      </c>
      <c r="B95" s="20">
        <v>69</v>
      </c>
    </row>
    <row r="96" spans="1:2" x14ac:dyDescent="0.25">
      <c r="A96" s="20" t="s">
        <v>100</v>
      </c>
      <c r="B96" s="20">
        <v>30</v>
      </c>
    </row>
    <row r="97" spans="1:2" x14ac:dyDescent="0.25">
      <c r="A97" s="20" t="s">
        <v>101</v>
      </c>
      <c r="B97" s="20">
        <v>58</v>
      </c>
    </row>
    <row r="98" spans="1:2" x14ac:dyDescent="0.25">
      <c r="A98" s="20" t="s">
        <v>102</v>
      </c>
      <c r="B98" s="20">
        <v>20</v>
      </c>
    </row>
    <row r="99" spans="1:2" x14ac:dyDescent="0.25">
      <c r="A99" s="20" t="s">
        <v>103</v>
      </c>
      <c r="B99" s="20">
        <v>56</v>
      </c>
    </row>
    <row r="100" spans="1:2" x14ac:dyDescent="0.25">
      <c r="A100" s="20" t="s">
        <v>104</v>
      </c>
      <c r="B100" s="20">
        <v>23</v>
      </c>
    </row>
    <row r="101" spans="1:2" x14ac:dyDescent="0.25">
      <c r="A101" s="20" t="s">
        <v>105</v>
      </c>
      <c r="B101" s="20">
        <v>25</v>
      </c>
    </row>
    <row r="102" spans="1:2" x14ac:dyDescent="0.25">
      <c r="A102" s="20" t="s">
        <v>106</v>
      </c>
      <c r="B102" s="20">
        <v>44</v>
      </c>
    </row>
    <row r="103" spans="1:2" x14ac:dyDescent="0.25">
      <c r="A103" s="20" t="s">
        <v>101</v>
      </c>
      <c r="B103" s="20">
        <v>26</v>
      </c>
    </row>
    <row r="104" spans="1:2" x14ac:dyDescent="0.25">
      <c r="A104" s="20" t="s">
        <v>107</v>
      </c>
      <c r="B104" s="20">
        <v>79</v>
      </c>
    </row>
    <row r="105" spans="1:2" x14ac:dyDescent="0.25">
      <c r="A105" s="20" t="s">
        <v>108</v>
      </c>
      <c r="B105" s="20">
        <v>54</v>
      </c>
    </row>
    <row r="106" spans="1:2" x14ac:dyDescent="0.25">
      <c r="A106" s="20" t="s">
        <v>109</v>
      </c>
      <c r="B106" s="20">
        <v>50</v>
      </c>
    </row>
    <row r="107" spans="1:2" x14ac:dyDescent="0.25">
      <c r="A107" s="20" t="s">
        <v>110</v>
      </c>
      <c r="B107" s="20">
        <v>68</v>
      </c>
    </row>
    <row r="108" spans="1:2" x14ac:dyDescent="0.25">
      <c r="A108" s="20" t="s">
        <v>111</v>
      </c>
      <c r="B108" s="20">
        <v>59</v>
      </c>
    </row>
    <row r="109" spans="1:2" x14ac:dyDescent="0.25">
      <c r="A109" s="20" t="s">
        <v>112</v>
      </c>
      <c r="B109" s="20">
        <v>61</v>
      </c>
    </row>
    <row r="110" spans="1:2" x14ac:dyDescent="0.25">
      <c r="A110" s="20" t="s">
        <v>113</v>
      </c>
      <c r="B110" s="20">
        <v>41</v>
      </c>
    </row>
    <row r="111" spans="1:2" x14ac:dyDescent="0.25">
      <c r="A111" s="20" t="s">
        <v>114</v>
      </c>
      <c r="B111" s="20">
        <v>32</v>
      </c>
    </row>
    <row r="112" spans="1:2" x14ac:dyDescent="0.25">
      <c r="A112" s="20" t="s">
        <v>115</v>
      </c>
      <c r="B112" s="20">
        <v>76</v>
      </c>
    </row>
    <row r="113" spans="1:2" x14ac:dyDescent="0.25">
      <c r="A113" s="20" t="s">
        <v>116</v>
      </c>
      <c r="B113" s="20">
        <v>71</v>
      </c>
    </row>
    <row r="114" spans="1:2" x14ac:dyDescent="0.25">
      <c r="A114" s="20" t="s">
        <v>117</v>
      </c>
      <c r="B114" s="20">
        <v>49</v>
      </c>
    </row>
    <row r="115" spans="1:2" x14ac:dyDescent="0.25">
      <c r="A115" s="20" t="s">
        <v>118</v>
      </c>
      <c r="B115" s="20">
        <v>49</v>
      </c>
    </row>
    <row r="116" spans="1:2" x14ac:dyDescent="0.25">
      <c r="A116" s="20" t="s">
        <v>71</v>
      </c>
      <c r="B116" s="20">
        <v>41</v>
      </c>
    </row>
    <row r="117" spans="1:2" x14ac:dyDescent="0.25">
      <c r="A117" s="20" t="s">
        <v>119</v>
      </c>
      <c r="B117" s="20">
        <v>58</v>
      </c>
    </row>
    <row r="118" spans="1:2" x14ac:dyDescent="0.25">
      <c r="A118" s="20" t="s">
        <v>34</v>
      </c>
      <c r="B118" s="20">
        <v>69</v>
      </c>
    </row>
    <row r="119" spans="1:2" x14ac:dyDescent="0.25">
      <c r="A119" s="20" t="s">
        <v>120</v>
      </c>
      <c r="B119" s="20">
        <v>66</v>
      </c>
    </row>
    <row r="120" spans="1:2" x14ac:dyDescent="0.25">
      <c r="A120" s="20" t="s">
        <v>27</v>
      </c>
      <c r="B120" s="20">
        <v>79</v>
      </c>
    </row>
    <row r="121" spans="1:2" x14ac:dyDescent="0.25">
      <c r="A121" s="20" t="s">
        <v>62</v>
      </c>
      <c r="B121" s="20">
        <v>66</v>
      </c>
    </row>
    <row r="122" spans="1:2" x14ac:dyDescent="0.25">
      <c r="A122" s="20" t="s">
        <v>121</v>
      </c>
      <c r="B122" s="20">
        <v>75</v>
      </c>
    </row>
    <row r="123" spans="1:2" x14ac:dyDescent="0.25">
      <c r="A123" s="20" t="s">
        <v>122</v>
      </c>
      <c r="B123" s="20">
        <v>69</v>
      </c>
    </row>
    <row r="124" spans="1:2" x14ac:dyDescent="0.25">
      <c r="A124" s="20" t="s">
        <v>101</v>
      </c>
      <c r="B124" s="20">
        <v>29</v>
      </c>
    </row>
    <row r="125" spans="1:2" x14ac:dyDescent="0.25">
      <c r="A125" s="20" t="s">
        <v>39</v>
      </c>
      <c r="B125" s="20">
        <v>79</v>
      </c>
    </row>
    <row r="126" spans="1:2" x14ac:dyDescent="0.25">
      <c r="A126" s="20" t="s">
        <v>123</v>
      </c>
      <c r="B126" s="20">
        <v>56</v>
      </c>
    </row>
    <row r="127" spans="1:2" x14ac:dyDescent="0.25">
      <c r="A127" s="20" t="s">
        <v>124</v>
      </c>
      <c r="B127" s="20">
        <v>19</v>
      </c>
    </row>
    <row r="128" spans="1:2" x14ac:dyDescent="0.25">
      <c r="A128" s="20" t="s">
        <v>125</v>
      </c>
      <c r="B128" s="20">
        <v>20</v>
      </c>
    </row>
    <row r="129" spans="1:2" x14ac:dyDescent="0.25">
      <c r="A129" s="20" t="s">
        <v>31</v>
      </c>
      <c r="B129" s="20">
        <v>66</v>
      </c>
    </row>
    <row r="130" spans="1:2" x14ac:dyDescent="0.25">
      <c r="A130" s="20" t="s">
        <v>126</v>
      </c>
      <c r="B130" s="20">
        <v>54</v>
      </c>
    </row>
    <row r="131" spans="1:2" x14ac:dyDescent="0.25">
      <c r="A131" s="20" t="s">
        <v>127</v>
      </c>
      <c r="B131" s="20">
        <v>66</v>
      </c>
    </row>
    <row r="132" spans="1:2" x14ac:dyDescent="0.25">
      <c r="A132" s="20" t="s">
        <v>128</v>
      </c>
      <c r="B132" s="20">
        <v>73</v>
      </c>
    </row>
    <row r="133" spans="1:2" x14ac:dyDescent="0.25">
      <c r="A133" s="20" t="s">
        <v>129</v>
      </c>
      <c r="B133" s="20">
        <v>34</v>
      </c>
    </row>
    <row r="134" spans="1:2" x14ac:dyDescent="0.25">
      <c r="A134" s="20" t="s">
        <v>48</v>
      </c>
      <c r="B134" s="20">
        <v>76</v>
      </c>
    </row>
    <row r="135" spans="1:2" x14ac:dyDescent="0.25">
      <c r="A135" s="20" t="s">
        <v>130</v>
      </c>
      <c r="B135" s="20">
        <v>66</v>
      </c>
    </row>
    <row r="136" spans="1:2" x14ac:dyDescent="0.25">
      <c r="A136" s="20" t="s">
        <v>131</v>
      </c>
      <c r="B136" s="20">
        <v>19</v>
      </c>
    </row>
    <row r="137" spans="1:2" x14ac:dyDescent="0.25">
      <c r="A137" s="20" t="s">
        <v>132</v>
      </c>
      <c r="B137" s="20">
        <v>19</v>
      </c>
    </row>
    <row r="138" spans="1:2" x14ac:dyDescent="0.25">
      <c r="A138" s="20" t="s">
        <v>133</v>
      </c>
      <c r="B138" s="20">
        <v>45</v>
      </c>
    </row>
    <row r="139" spans="1:2" x14ac:dyDescent="0.25">
      <c r="A139" s="20" t="s">
        <v>134</v>
      </c>
      <c r="B139" s="20">
        <v>71</v>
      </c>
    </row>
    <row r="140" spans="1:2" x14ac:dyDescent="0.25">
      <c r="A140" s="20" t="s">
        <v>103</v>
      </c>
      <c r="B140" s="20">
        <v>40</v>
      </c>
    </row>
    <row r="141" spans="1:2" x14ac:dyDescent="0.25">
      <c r="A141" s="20" t="s">
        <v>107</v>
      </c>
      <c r="B141" s="20">
        <v>54</v>
      </c>
    </row>
    <row r="142" spans="1:2" x14ac:dyDescent="0.25">
      <c r="A142" s="20" t="s">
        <v>135</v>
      </c>
      <c r="B142" s="20">
        <v>49</v>
      </c>
    </row>
    <row r="143" spans="1:2" x14ac:dyDescent="0.25">
      <c r="A143" s="20" t="s">
        <v>136</v>
      </c>
      <c r="B143" s="20">
        <v>50</v>
      </c>
    </row>
    <row r="144" spans="1:2" x14ac:dyDescent="0.25">
      <c r="A144" s="20" t="s">
        <v>137</v>
      </c>
      <c r="B144" s="20">
        <v>18</v>
      </c>
    </row>
    <row r="145" spans="1:2" x14ac:dyDescent="0.25">
      <c r="A145" s="20" t="s">
        <v>138</v>
      </c>
      <c r="B145" s="20">
        <v>36</v>
      </c>
    </row>
    <row r="146" spans="1:2" x14ac:dyDescent="0.25">
      <c r="A146" s="20" t="s">
        <v>139</v>
      </c>
      <c r="B146" s="20">
        <v>79</v>
      </c>
    </row>
    <row r="147" spans="1:2" x14ac:dyDescent="0.25">
      <c r="A147" s="20" t="s">
        <v>140</v>
      </c>
      <c r="B147" s="20">
        <v>19</v>
      </c>
    </row>
    <row r="148" spans="1:2" x14ac:dyDescent="0.25">
      <c r="A148" s="20" t="s">
        <v>141</v>
      </c>
      <c r="B148" s="20">
        <v>70</v>
      </c>
    </row>
    <row r="149" spans="1:2" x14ac:dyDescent="0.25">
      <c r="A149" s="20" t="s">
        <v>142</v>
      </c>
      <c r="B149" s="20">
        <v>61</v>
      </c>
    </row>
    <row r="150" spans="1:2" x14ac:dyDescent="0.25">
      <c r="A150" s="20" t="s">
        <v>143</v>
      </c>
      <c r="B150" s="20">
        <v>43</v>
      </c>
    </row>
    <row r="151" spans="1:2" x14ac:dyDescent="0.25">
      <c r="A151" s="20" t="s">
        <v>104</v>
      </c>
      <c r="B151" s="20">
        <v>49</v>
      </c>
    </row>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Was-wäre-wenn Analyse</vt:lpstr>
      <vt:lpstr>HistogrammPareto-Diagram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Nils Gerisch</dc:creator>
  <cp:lastModifiedBy>Nils Gerisch</cp:lastModifiedBy>
  <dcterms:created xsi:type="dcterms:W3CDTF">2025-10-17T07:01:45Z</dcterms:created>
  <dcterms:modified xsi:type="dcterms:W3CDTF">2025-10-31T07:46:05Z</dcterms:modified>
</cp:coreProperties>
</file>