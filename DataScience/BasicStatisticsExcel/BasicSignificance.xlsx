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lash\Desktop\Jobvorbereitungen\Sachbearbeiter_Polizeiliche_Kriminalstatistk\Excel_practice\Statistics\"/>
    </mc:Choice>
  </mc:AlternateContent>
  <xr:revisionPtr revIDLastSave="0" documentId="13_ncr:1_{64DBF749-1ADD-4D51-A500-368E58C1EAEA}" xr6:coauthVersionLast="47" xr6:coauthVersionMax="47" xr10:uidLastSave="{00000000-0000-0000-0000-000000000000}"/>
  <bookViews>
    <workbookView xWindow="-120" yWindow="-120" windowWidth="29040" windowHeight="15720" activeTab="3" xr2:uid="{461F09AC-0683-4491-A0ED-362F24B37EA2}"/>
  </bookViews>
  <sheets>
    <sheet name="T-Tests" sheetId="1" r:id="rId1"/>
    <sheet name="One-Way ANOVA" sheetId="3" r:id="rId2"/>
    <sheet name="Linear Regerssion" sheetId="4" r:id="rId3"/>
    <sheet name="Two-Way ANOVA" sheetId="5" r:id="rId4"/>
    <sheet name="Wilcoxon Signed Rank" sheetId="6" r:id="rId5"/>
    <sheet name="Wilcoxon mann whtiney u" sheetId="7" r:id="rId6"/>
    <sheet name="ChiSquare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8" l="1"/>
  <c r="F21" i="7" l="1"/>
  <c r="B22" i="7"/>
  <c r="B21" i="7"/>
  <c r="F19" i="7"/>
  <c r="E19" i="7"/>
  <c r="F18" i="7"/>
  <c r="E18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3" i="7"/>
  <c r="G3" i="6"/>
  <c r="F5" i="6"/>
  <c r="E10" i="6"/>
  <c r="G10" i="6" s="1"/>
  <c r="E5" i="6"/>
  <c r="E2" i="6"/>
  <c r="F2" i="6"/>
  <c r="E3" i="6"/>
  <c r="E4" i="6"/>
  <c r="E6" i="6"/>
  <c r="G6" i="6" s="1"/>
  <c r="E7" i="6"/>
  <c r="G7" i="6" s="1"/>
  <c r="E8" i="6"/>
  <c r="F8" i="6" s="1"/>
  <c r="E9" i="6"/>
  <c r="E11" i="6"/>
  <c r="G11" i="6" s="1"/>
  <c r="E12" i="6"/>
  <c r="F12" i="6" s="1"/>
  <c r="E13" i="6"/>
  <c r="G13" i="6" s="1"/>
  <c r="G4" i="6"/>
  <c r="G5" i="6"/>
  <c r="G8" i="6"/>
  <c r="G9" i="6"/>
  <c r="G12" i="6"/>
  <c r="G2" i="6"/>
  <c r="F3" i="6"/>
  <c r="F4" i="6"/>
  <c r="F6" i="6"/>
  <c r="F7" i="6"/>
  <c r="F9" i="6"/>
  <c r="F10" i="6"/>
  <c r="F11" i="6"/>
  <c r="F13" i="6"/>
  <c r="D2" i="6"/>
  <c r="D3" i="6"/>
  <c r="D4" i="6"/>
  <c r="D5" i="6"/>
  <c r="D6" i="6"/>
  <c r="D7" i="6"/>
  <c r="D8" i="6"/>
  <c r="D9" i="6"/>
  <c r="D10" i="6"/>
  <c r="D11" i="6"/>
  <c r="D12" i="6"/>
  <c r="D13" i="6"/>
  <c r="C3" i="6"/>
  <c r="C4" i="6"/>
  <c r="C5" i="6"/>
  <c r="C6" i="6"/>
  <c r="C7" i="6"/>
  <c r="C8" i="6"/>
  <c r="C9" i="6"/>
  <c r="C10" i="6"/>
  <c r="C11" i="6"/>
  <c r="C12" i="6"/>
  <c r="C13" i="6"/>
  <c r="C2" i="6"/>
  <c r="M30" i="1"/>
  <c r="L29" i="1"/>
  <c r="K28" i="1"/>
  <c r="L16" i="1"/>
  <c r="O21" i="1"/>
  <c r="N21" i="1"/>
  <c r="N20" i="1"/>
  <c r="M17" i="1"/>
  <c r="M16" i="1"/>
  <c r="L6" i="1"/>
  <c r="M6" i="1"/>
  <c r="N6" i="1"/>
  <c r="O6" i="1"/>
  <c r="P6" i="1"/>
  <c r="M7" i="1"/>
  <c r="N7" i="1"/>
  <c r="O7" i="1"/>
  <c r="P7" i="1"/>
  <c r="N8" i="1"/>
  <c r="O8" i="1"/>
  <c r="K7" i="1"/>
  <c r="F14" i="1"/>
  <c r="F15" i="1" s="1"/>
  <c r="F16" i="1" s="1"/>
  <c r="B14" i="1"/>
  <c r="B15" i="1" s="1"/>
  <c r="B16" i="1" s="1"/>
  <c r="C9" i="1"/>
  <c r="C14" i="1" s="1"/>
  <c r="C15" i="1" s="1"/>
  <c r="C16" i="1" s="1"/>
  <c r="D9" i="1"/>
  <c r="D14" i="1" s="1"/>
  <c r="D15" i="1" s="1"/>
  <c r="D16" i="1" s="1"/>
  <c r="E9" i="1"/>
  <c r="E14" i="1" s="1"/>
  <c r="E15" i="1" s="1"/>
  <c r="E16" i="1" s="1"/>
  <c r="F9" i="1"/>
  <c r="O11" i="1" s="1"/>
  <c r="G9" i="1"/>
  <c r="P8" i="1" s="1"/>
  <c r="C10" i="1"/>
  <c r="D10" i="1"/>
  <c r="E10" i="1"/>
  <c r="N10" i="1" s="1"/>
  <c r="F10" i="1"/>
  <c r="G10" i="1"/>
  <c r="C11" i="1"/>
  <c r="D11" i="1"/>
  <c r="E11" i="1"/>
  <c r="E12" i="1" s="1"/>
  <c r="N11" i="1" s="1"/>
  <c r="F11" i="1"/>
  <c r="F12" i="1" s="1"/>
  <c r="G11" i="1"/>
  <c r="G12" i="1" s="1"/>
  <c r="B11" i="1"/>
  <c r="B12" i="1" s="1"/>
  <c r="B10" i="1"/>
  <c r="B9" i="1"/>
  <c r="K11" i="1" s="1"/>
  <c r="G16" i="6" l="1"/>
  <c r="G15" i="6"/>
  <c r="L8" i="1"/>
  <c r="C12" i="1"/>
  <c r="P10" i="1"/>
  <c r="M10" i="1"/>
  <c r="L10" i="1"/>
  <c r="G14" i="1"/>
  <c r="G15" i="1" s="1"/>
  <c r="G16" i="1" s="1"/>
  <c r="K8" i="1"/>
  <c r="P9" i="1"/>
  <c r="K9" i="1"/>
  <c r="O9" i="1"/>
  <c r="K10" i="1"/>
  <c r="M9" i="1"/>
  <c r="L9" i="1"/>
  <c r="L11" i="1"/>
  <c r="D12" i="1"/>
  <c r="M11" i="1" s="1"/>
</calcChain>
</file>

<file path=xl/sharedStrings.xml><?xml version="1.0" encoding="utf-8"?>
<sst xmlns="http://schemas.openxmlformats.org/spreadsheetml/2006/main" count="266" uniqueCount="104">
  <si>
    <t>High Marsh</t>
  </si>
  <si>
    <t>Mid Marsh</t>
  </si>
  <si>
    <t>Low Marsh</t>
  </si>
  <si>
    <t>Untrimmed</t>
  </si>
  <si>
    <t>Trimmed</t>
  </si>
  <si>
    <t>Raw Data</t>
  </si>
  <si>
    <t>N</t>
  </si>
  <si>
    <t>Mean</t>
  </si>
  <si>
    <t>Std Dev</t>
  </si>
  <si>
    <t>S.E.</t>
  </si>
  <si>
    <t>alpha</t>
  </si>
  <si>
    <t>Homoskedastisch (Jarque-Bera): Test stastistic</t>
  </si>
  <si>
    <t>Homoskedastisch (Jarque-Bera): P-value</t>
  </si>
  <si>
    <t>Homoskedastisch ?</t>
  </si>
  <si>
    <t>F Test for Variance (sind Varianzen ähnlich?)</t>
  </si>
  <si>
    <t>T - Test (unpaired; two-tailed)</t>
  </si>
  <si>
    <t>T - Test (paired; two-tailed)</t>
  </si>
  <si>
    <t>Red</t>
  </si>
  <si>
    <t>Yellow</t>
  </si>
  <si>
    <t>Blue</t>
  </si>
  <si>
    <t>Anova: Einfaktorielle Varianzanalyse</t>
  </si>
  <si>
    <t>ZUSAMMENFASSUNG</t>
  </si>
  <si>
    <t>Gruppen</t>
  </si>
  <si>
    <t>Anzahl</t>
  </si>
  <si>
    <t>Summe</t>
  </si>
  <si>
    <t>Mittelwert</t>
  </si>
  <si>
    <t>Varianz</t>
  </si>
  <si>
    <t>ANOVA</t>
  </si>
  <si>
    <t>Streuungsursache</t>
  </si>
  <si>
    <t>Quadratsummen (SS)</t>
  </si>
  <si>
    <t>Freiheitsgrade (df)</t>
  </si>
  <si>
    <t>Mittlere Quadratsumme (MS)</t>
  </si>
  <si>
    <t>Prüfgröße (F)</t>
  </si>
  <si>
    <t>P-Wert</t>
  </si>
  <si>
    <t>kritischer F-Wert</t>
  </si>
  <si>
    <t>Unterschiede zwischen den Gruppen</t>
  </si>
  <si>
    <t>Innerhalb der Gruppen</t>
  </si>
  <si>
    <t>Gesamt</t>
  </si>
  <si>
    <t>Zweistichproben t-Test unter der Annahme gleicher Varianzen</t>
  </si>
  <si>
    <t>Beobachtungen</t>
  </si>
  <si>
    <t>Gepoolte Varianz</t>
  </si>
  <si>
    <t>Hypothetische Differenz der Mittelwerte</t>
  </si>
  <si>
    <t>t-Statistik</t>
  </si>
  <si>
    <t>P(T&lt;=t) einseitig</t>
  </si>
  <si>
    <t>Kritischer t-Wert bei einseitigem t-Test</t>
  </si>
  <si>
    <t>P(T&lt;=t) zweiseitig</t>
  </si>
  <si>
    <t>Kritischer t-Wert bei zweiseitigem t-Test</t>
  </si>
  <si>
    <t>Zweistichproben t-Test bei abhängigen Stichproben (Paarvergleichstest)</t>
  </si>
  <si>
    <t>Pearson Korrelation</t>
  </si>
  <si>
    <t>Depth (X)</t>
  </si>
  <si>
    <t>Fish (Y)</t>
  </si>
  <si>
    <t>AUSGABE: ZUSAMMENFASSUNG</t>
  </si>
  <si>
    <t>Regressions-Statistik</t>
  </si>
  <si>
    <t>Multipler Korrelationskoeffizient</t>
  </si>
  <si>
    <t>Bestimmtheitsmaß</t>
  </si>
  <si>
    <t>Adjustiertes Bestimmtheitsmaß</t>
  </si>
  <si>
    <t>Standardfehler</t>
  </si>
  <si>
    <t>Regression</t>
  </si>
  <si>
    <t>Residue</t>
  </si>
  <si>
    <t>Schnittpunkt</t>
  </si>
  <si>
    <t>F krit</t>
  </si>
  <si>
    <t>Koeffizienten</t>
  </si>
  <si>
    <t>Untere 95%</t>
  </si>
  <si>
    <t>Obere 95%</t>
  </si>
  <si>
    <t>Untere 95,0%</t>
  </si>
  <si>
    <t>Obere 95,0%</t>
  </si>
  <si>
    <t>b =</t>
  </si>
  <si>
    <t>m =</t>
  </si>
  <si>
    <t>y = m * x + b</t>
  </si>
  <si>
    <t xml:space="preserve"> = R</t>
  </si>
  <si>
    <r>
      <t xml:space="preserve"> = R</t>
    </r>
    <r>
      <rPr>
        <vertAlign val="superscript"/>
        <sz val="11"/>
        <color theme="1"/>
        <rFont val="Aptos Narrow"/>
        <family val="2"/>
        <scheme val="minor"/>
      </rPr>
      <t>2</t>
    </r>
  </si>
  <si>
    <t xml:space="preserve"> = p-Wert von Interesse</t>
  </si>
  <si>
    <t>Spalten</t>
  </si>
  <si>
    <t>Anova: Zweifaktorielle Varianzanalyse mit Messwiederholung</t>
  </si>
  <si>
    <t>Stichprobe</t>
  </si>
  <si>
    <t>Wechselwirkung</t>
  </si>
  <si>
    <t>Fehler</t>
  </si>
  <si>
    <t>group1</t>
  </si>
  <si>
    <t>group2</t>
  </si>
  <si>
    <t>Difference</t>
  </si>
  <si>
    <t>Abs Diff</t>
  </si>
  <si>
    <t>Rank of abs diff</t>
  </si>
  <si>
    <t>Positive Ranks</t>
  </si>
  <si>
    <t>Negaive ranks</t>
  </si>
  <si>
    <t>smaller sum</t>
  </si>
  <si>
    <t>sample size</t>
  </si>
  <si>
    <t>Look up in WSRT critical values table</t>
  </si>
  <si>
    <t>Time Taken to Fell Relief</t>
  </si>
  <si>
    <t>Old Drug</t>
  </si>
  <si>
    <t>New Drug</t>
  </si>
  <si>
    <t>Rank</t>
  </si>
  <si>
    <t>Rank Sum</t>
  </si>
  <si>
    <t>Sample Size</t>
  </si>
  <si>
    <t>U1</t>
  </si>
  <si>
    <t>U2</t>
  </si>
  <si>
    <t>Test Statistic</t>
  </si>
  <si>
    <t>Critical Value</t>
  </si>
  <si>
    <t>Look up in designated Table</t>
  </si>
  <si>
    <t>Die Result</t>
  </si>
  <si>
    <t>Observed</t>
  </si>
  <si>
    <t>Expected</t>
  </si>
  <si>
    <t>Chi Square</t>
  </si>
  <si>
    <t>Anmerkung: Für diesen Datensatz machen T-Tests natürlich wenig praktischen Sinn. Mir ging es hier nur darum, die T-Test Funktionalität von Excel zu testen. Einmal über die Methode t.test und einmal über das Datenanalyse Add-On. Für eine Tatsächliche Analyse ist eine factorielle ANOVA sinnvoll und findet sich auf dem Sheet "Two-Way ANOVA"</t>
  </si>
  <si>
    <t>Ergebnis: Der Faktor Hight/Mid/Low-Marsh (Stichproben) hat keinen signifikanten Einfluss auf die Werte. Die Interaktion von  den Stichproben mit dem Faktor (Un-)Trimmed hat ebenfalls keinen signifikanten Einfluss. Der Faktor (Un-)Trimmed hat einen signifikanten Einfluss. Der durchschnittliche Wert hängt somit damit zusammen, ob trimmed oder untrimmed und ist unabhängig vom Marsh,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</si>
</sst>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4" xfId="0" applyBorder="1"/>
    <xf numFmtId="0" fontId="0" fillId="2" borderId="2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1" fillId="2" borderId="3" xfId="0" applyFont="1" applyFill="1" applyBorder="1"/>
    <xf numFmtId="0" fontId="1" fillId="2" borderId="1" xfId="0" applyFont="1" applyFill="1" applyBorder="1"/>
    <xf numFmtId="0" fontId="1" fillId="2" borderId="6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3" borderId="1" xfId="0" applyFill="1" applyBorder="1"/>
    <xf numFmtId="0" fontId="0" fillId="3" borderId="0" xfId="0" applyFill="1"/>
    <xf numFmtId="0" fontId="0" fillId="0" borderId="12" xfId="0" applyBorder="1"/>
    <xf numFmtId="0" fontId="2" fillId="0" borderId="13" xfId="0" applyFont="1" applyBorder="1" applyAlignment="1">
      <alignment horizontal="center"/>
    </xf>
    <xf numFmtId="0" fontId="0" fillId="0" borderId="9" xfId="0" applyBorder="1"/>
    <xf numFmtId="0" fontId="0" fillId="0" borderId="14" xfId="0" applyBorder="1"/>
    <xf numFmtId="0" fontId="0" fillId="0" borderId="11" xfId="0" applyBorder="1"/>
    <xf numFmtId="0" fontId="0" fillId="0" borderId="5" xfId="0" applyBorder="1"/>
    <xf numFmtId="0" fontId="0" fillId="0" borderId="15" xfId="0" applyBorder="1"/>
    <xf numFmtId="0" fontId="0" fillId="0" borderId="16" xfId="0" applyBorder="1"/>
    <xf numFmtId="0" fontId="2" fillId="0" borderId="13" xfId="0" applyFont="1" applyBorder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0" fontId="0" fillId="4" borderId="12" xfId="0" applyFill="1" applyBorder="1"/>
    <xf numFmtId="0" fontId="0" fillId="4" borderId="0" xfId="0" applyFill="1"/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7" xfId="0" applyFont="1" applyBorder="1" applyAlignment="1">
      <alignment horizontal="right"/>
    </xf>
    <xf numFmtId="0" fontId="0" fillId="0" borderId="0" xfId="0" applyFill="1" applyBorder="1" applyAlignment="1"/>
    <xf numFmtId="0" fontId="0" fillId="0" borderId="0" xfId="0" applyBorder="1"/>
    <xf numFmtId="0" fontId="4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wrapText="1"/>
    </xf>
  </cellXfs>
  <cellStyles count="1">
    <cellStyle name="Standard" xfId="0" builtinId="0"/>
  </cellStyles>
  <dxfs count="3"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Scatterplot Nr fish</a:t>
            </a:r>
            <a:r>
              <a:rPr lang="en-US" baseline="0"/>
              <a:t> per depth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'Linear Regerssion'!$B$1</c:f>
              <c:strCache>
                <c:ptCount val="1"/>
                <c:pt idx="0">
                  <c:v>Fish (Y)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'Linear Regerssion'!$A$2:$A$31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</c:numCache>
            </c:numRef>
          </c:xVal>
          <c:yVal>
            <c:numRef>
              <c:f>'Linear Regerssion'!$B$2:$B$31</c:f>
              <c:numCache>
                <c:formatCode>General</c:formatCode>
                <c:ptCount val="30"/>
                <c:pt idx="0">
                  <c:v>43</c:v>
                </c:pt>
                <c:pt idx="1">
                  <c:v>55</c:v>
                </c:pt>
                <c:pt idx="2">
                  <c:v>58</c:v>
                </c:pt>
                <c:pt idx="3">
                  <c:v>79</c:v>
                </c:pt>
                <c:pt idx="4">
                  <c:v>53</c:v>
                </c:pt>
                <c:pt idx="5">
                  <c:v>49</c:v>
                </c:pt>
                <c:pt idx="6">
                  <c:v>60</c:v>
                </c:pt>
                <c:pt idx="7">
                  <c:v>33</c:v>
                </c:pt>
                <c:pt idx="8">
                  <c:v>44</c:v>
                </c:pt>
                <c:pt idx="9">
                  <c:v>39</c:v>
                </c:pt>
                <c:pt idx="10">
                  <c:v>41</c:v>
                </c:pt>
                <c:pt idx="11">
                  <c:v>50</c:v>
                </c:pt>
                <c:pt idx="12">
                  <c:v>38</c:v>
                </c:pt>
                <c:pt idx="13">
                  <c:v>34</c:v>
                </c:pt>
                <c:pt idx="14">
                  <c:v>19</c:v>
                </c:pt>
                <c:pt idx="15">
                  <c:v>29</c:v>
                </c:pt>
                <c:pt idx="16">
                  <c:v>24</c:v>
                </c:pt>
                <c:pt idx="17">
                  <c:v>34</c:v>
                </c:pt>
                <c:pt idx="18">
                  <c:v>18</c:v>
                </c:pt>
                <c:pt idx="19">
                  <c:v>16</c:v>
                </c:pt>
                <c:pt idx="20">
                  <c:v>5</c:v>
                </c:pt>
                <c:pt idx="21">
                  <c:v>25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2</c:v>
                </c:pt>
                <c:pt idx="26">
                  <c:v>7</c:v>
                </c:pt>
                <c:pt idx="27">
                  <c:v>4</c:v>
                </c:pt>
                <c:pt idx="28">
                  <c:v>0</c:v>
                </c:pt>
                <c:pt idx="2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70-45F6-9A34-58C35FD98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890232"/>
        <c:axId val="783890952"/>
      </c:scatterChart>
      <c:valAx>
        <c:axId val="783890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</a:t>
                </a:r>
              </a:p>
              <a:p>
                <a:pPr>
                  <a:defRPr/>
                </a:pP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3890952"/>
        <c:crosses val="autoZero"/>
        <c:crossBetween val="midCat"/>
      </c:valAx>
      <c:valAx>
        <c:axId val="7838909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Fish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3890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8</xdr:col>
      <xdr:colOff>9525</xdr:colOff>
      <xdr:row>14</xdr:row>
      <xdr:rowOff>76200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E04CE84-261F-8432-89C1-6B2FCF511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DB19C-CD90-4893-B7FF-E47DB4237400}" name="Tabelle1" displayName="Tabelle1" ref="A1:C11" totalsRowShown="0">
  <autoFilter ref="A1:C11" xr:uid="{8E6DB19C-CD90-4893-B7FF-E47DB4237400}"/>
  <tableColumns count="3">
    <tableColumn id="1" xr3:uid="{61EC1057-4836-4D11-9833-4EFC54CD58E5}" name="Red"/>
    <tableColumn id="2" xr3:uid="{90BE593A-7A73-411A-A857-1EA19DF3A30A}" name="Yellow"/>
    <tableColumn id="3" xr3:uid="{2B23606E-FE5D-4063-AF81-CAA6CD28E29D}" name="Blu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ADB66A-ABFC-46D8-A0FF-94EA9210C948}" name="Tabelle2" displayName="Tabelle2" ref="A1:B31" totalsRowShown="0" headerRowBorderDxfId="2" tableBorderDxfId="1">
  <autoFilter ref="A1:B31" xr:uid="{A3ADB66A-ABFC-46D8-A0FF-94EA9210C948}"/>
  <tableColumns count="2">
    <tableColumn id="1" xr3:uid="{62A4AD4D-3597-4810-B068-742EFAAC2D73}" name="Depth (X)" dataDxfId="0"/>
    <tableColumn id="2" xr3:uid="{60A7CDE1-4A19-4282-9A05-95AC6C4DDD9D}" name="Fish (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198A-55A0-4F39-9885-634AF70C4C02}">
  <dimension ref="A1:P121"/>
  <sheetViews>
    <sheetView topLeftCell="A19" workbookViewId="0">
      <selection activeCell="C31" sqref="C31"/>
    </sheetView>
  </sheetViews>
  <sheetFormatPr baseColWidth="10" defaultRowHeight="15" x14ac:dyDescent="0.25"/>
  <cols>
    <col min="1" max="1" width="44" customWidth="1"/>
    <col min="5" max="5" width="55.85546875" bestFit="1" customWidth="1"/>
    <col min="9" max="9" width="41" bestFit="1" customWidth="1"/>
    <col min="10" max="10" width="65.28515625" bestFit="1" customWidth="1"/>
  </cols>
  <sheetData>
    <row r="1" spans="1:16" x14ac:dyDescent="0.25">
      <c r="B1" s="3"/>
      <c r="C1" s="9" t="s">
        <v>3</v>
      </c>
      <c r="D1" s="4"/>
      <c r="E1" s="3"/>
      <c r="F1" s="9" t="s">
        <v>4</v>
      </c>
      <c r="G1" s="4"/>
    </row>
    <row r="2" spans="1:16" x14ac:dyDescent="0.25">
      <c r="B2" s="5" t="s">
        <v>0</v>
      </c>
      <c r="C2" s="5" t="s">
        <v>1</v>
      </c>
      <c r="D2" s="5" t="s">
        <v>2</v>
      </c>
      <c r="E2" s="5" t="s">
        <v>0</v>
      </c>
      <c r="F2" s="5" t="s">
        <v>1</v>
      </c>
      <c r="G2" s="5" t="s">
        <v>2</v>
      </c>
      <c r="I2" s="5" t="s">
        <v>10</v>
      </c>
      <c r="J2" s="1">
        <v>0.05</v>
      </c>
    </row>
    <row r="3" spans="1:16" x14ac:dyDescent="0.25">
      <c r="A3" s="6"/>
      <c r="B3" s="2">
        <v>12</v>
      </c>
      <c r="C3" s="1">
        <v>9</v>
      </c>
      <c r="D3" s="1">
        <v>7</v>
      </c>
      <c r="E3" s="1">
        <v>6</v>
      </c>
      <c r="F3" s="1">
        <v>7</v>
      </c>
      <c r="G3" s="1">
        <v>6</v>
      </c>
    </row>
    <row r="4" spans="1:16" x14ac:dyDescent="0.25">
      <c r="A4" s="7"/>
      <c r="B4" s="2">
        <v>15</v>
      </c>
      <c r="C4" s="1">
        <v>8</v>
      </c>
      <c r="D4" s="1">
        <v>12</v>
      </c>
      <c r="E4" s="1">
        <v>2</v>
      </c>
      <c r="F4" s="1">
        <v>3</v>
      </c>
      <c r="G4" s="1">
        <v>1</v>
      </c>
      <c r="I4" s="12" t="s">
        <v>14</v>
      </c>
      <c r="J4" s="13"/>
      <c r="K4" s="3"/>
      <c r="L4" s="9" t="s">
        <v>3</v>
      </c>
      <c r="M4" s="4"/>
      <c r="N4" s="3"/>
      <c r="O4" s="9" t="s">
        <v>4</v>
      </c>
      <c r="P4" s="4"/>
    </row>
    <row r="5" spans="1:16" x14ac:dyDescent="0.25">
      <c r="A5" s="7" t="s">
        <v>5</v>
      </c>
      <c r="B5" s="2">
        <v>7</v>
      </c>
      <c r="C5" s="1">
        <v>16</v>
      </c>
      <c r="D5" s="1">
        <v>15</v>
      </c>
      <c r="E5" s="1">
        <v>7</v>
      </c>
      <c r="F5" s="1">
        <v>5</v>
      </c>
      <c r="G5" s="1">
        <v>8</v>
      </c>
      <c r="I5" s="14"/>
      <c r="J5" s="15"/>
      <c r="K5" s="5" t="s">
        <v>0</v>
      </c>
      <c r="L5" s="5" t="s">
        <v>1</v>
      </c>
      <c r="M5" s="5" t="s">
        <v>2</v>
      </c>
      <c r="N5" s="5" t="s">
        <v>0</v>
      </c>
      <c r="O5" s="5" t="s">
        <v>1</v>
      </c>
      <c r="P5" s="5" t="s">
        <v>2</v>
      </c>
    </row>
    <row r="6" spans="1:16" x14ac:dyDescent="0.25">
      <c r="A6" s="7"/>
      <c r="B6" s="2">
        <v>3</v>
      </c>
      <c r="C6" s="1">
        <v>5</v>
      </c>
      <c r="D6" s="1">
        <v>4</v>
      </c>
      <c r="E6" s="1">
        <v>8</v>
      </c>
      <c r="F6" s="1">
        <v>9</v>
      </c>
      <c r="G6" s="1">
        <v>6</v>
      </c>
      <c r="I6" s="6"/>
      <c r="J6" s="4" t="s">
        <v>0</v>
      </c>
      <c r="K6" s="1"/>
      <c r="L6" s="1" t="b">
        <f t="shared" ref="L6:P6" si="0" xml:space="preserve"> IF(_xlfn.F.DIST(_xlfn.F.TEST($B$3:$B$7,C3:C7), COUNT($B$3:$B$7)-1, COUNT(C3:C7)-1, TRUE) &lt; $J$2, FALSE, TRUE)</f>
        <v>1</v>
      </c>
      <c r="M6" s="1" t="b">
        <f t="shared" si="0"/>
        <v>1</v>
      </c>
      <c r="N6" s="1" t="b">
        <f t="shared" si="0"/>
        <v>1</v>
      </c>
      <c r="O6" s="1" t="b">
        <f t="shared" si="0"/>
        <v>1</v>
      </c>
      <c r="P6" s="1" t="b">
        <f t="shared" si="0"/>
        <v>1</v>
      </c>
    </row>
    <row r="7" spans="1:16" x14ac:dyDescent="0.25">
      <c r="A7" s="8"/>
      <c r="B7" s="2">
        <v>11</v>
      </c>
      <c r="C7" s="1">
        <v>13</v>
      </c>
      <c r="D7" s="1">
        <v>10</v>
      </c>
      <c r="E7" s="1">
        <v>4</v>
      </c>
      <c r="F7" s="1">
        <v>4</v>
      </c>
      <c r="G7" s="1">
        <v>3</v>
      </c>
      <c r="I7" s="11" t="s">
        <v>3</v>
      </c>
      <c r="J7" s="4" t="s">
        <v>1</v>
      </c>
      <c r="K7" s="1" t="b">
        <f xml:space="preserve"> IF(_xlfn.F.DIST(_xlfn.F.TEST($C$3:$C$7,B4:B8), COUNT($C$3:$C$7)-1, COUNT(B4:B8)-1, TRUE) &lt; $J$2, FALSE, TRUE)</f>
        <v>1</v>
      </c>
      <c r="L7" s="1"/>
      <c r="M7" s="1" t="b">
        <f t="shared" ref="M7:P7" si="1" xml:space="preserve"> IF(_xlfn.F.DIST(_xlfn.F.TEST($C$3:$C$7,D4:D8), COUNT($C$3:$C$7)-1, COUNT(D4:D8)-1, TRUE) &lt; $J$2, FALSE, TRUE)</f>
        <v>1</v>
      </c>
      <c r="N7" s="1" t="b">
        <f t="shared" si="1"/>
        <v>1</v>
      </c>
      <c r="O7" s="1" t="b">
        <f t="shared" si="1"/>
        <v>1</v>
      </c>
      <c r="P7" s="1" t="b">
        <f t="shared" si="1"/>
        <v>1</v>
      </c>
    </row>
    <row r="8" spans="1:16" x14ac:dyDescent="0.25">
      <c r="I8" s="7"/>
      <c r="J8" s="4" t="s">
        <v>2</v>
      </c>
      <c r="K8" s="1" t="b">
        <f xml:space="preserve"> IF(_xlfn.F.DIST(_xlfn.F.TEST($D$3:$D$7,B5:B9), COUNT($D$3:$D$7)-1, COUNT(B5:B9)-1, TRUE) &lt; $J$2, FALSE, TRUE)</f>
        <v>1</v>
      </c>
      <c r="L8" s="1" t="b">
        <f t="shared" ref="L8:P8" si="2" xml:space="preserve"> IF(_xlfn.F.DIST(_xlfn.F.TEST($D$3:$D$7,C5:C9), COUNT($D$3:$D$7)-1, COUNT(C5:C9)-1, TRUE) &lt; $J$2, FALSE, TRUE)</f>
        <v>1</v>
      </c>
      <c r="M8" s="1"/>
      <c r="N8" s="1" t="b">
        <f t="shared" si="2"/>
        <v>1</v>
      </c>
      <c r="O8" s="1" t="b">
        <f t="shared" si="2"/>
        <v>1</v>
      </c>
      <c r="P8" s="1" t="b">
        <f t="shared" si="2"/>
        <v>1</v>
      </c>
    </row>
    <row r="9" spans="1:16" x14ac:dyDescent="0.25">
      <c r="A9" s="10" t="s">
        <v>6</v>
      </c>
      <c r="B9" s="1">
        <f>COUNTA(B$3:B$7)</f>
        <v>5</v>
      </c>
      <c r="C9" s="1">
        <f t="shared" ref="C9:G9" si="3">COUNTA(C$3:C$7)</f>
        <v>5</v>
      </c>
      <c r="D9" s="1">
        <f t="shared" si="3"/>
        <v>5</v>
      </c>
      <c r="E9" s="1">
        <f t="shared" si="3"/>
        <v>5</v>
      </c>
      <c r="F9" s="1">
        <f t="shared" si="3"/>
        <v>5</v>
      </c>
      <c r="G9" s="1">
        <f t="shared" si="3"/>
        <v>5</v>
      </c>
      <c r="I9" s="6"/>
      <c r="J9" s="4" t="s">
        <v>0</v>
      </c>
      <c r="K9" s="1" t="b">
        <f xml:space="preserve"> IF(_xlfn.F.DIST(_xlfn.F.TEST($E$3:$E$7,B6:B10), COUNT($E$3:$E$7)-1, COUNT(B6:B10)-1, TRUE) &lt; $J$2, FALSE, TRUE)</f>
        <v>1</v>
      </c>
      <c r="L9" s="1" t="b">
        <f t="shared" ref="L9:P9" si="4" xml:space="preserve"> IF(_xlfn.F.DIST(_xlfn.F.TEST($E$3:$E$7,C6:C10), COUNT($E$3:$E$7)-1, COUNT(C6:C10)-1, TRUE) &lt; $J$2, FALSE, TRUE)</f>
        <v>1</v>
      </c>
      <c r="M9" s="1" t="b">
        <f t="shared" si="4"/>
        <v>1</v>
      </c>
      <c r="N9" s="1"/>
      <c r="O9" s="1" t="b">
        <f t="shared" si="4"/>
        <v>1</v>
      </c>
      <c r="P9" s="1" t="b">
        <f t="shared" si="4"/>
        <v>1</v>
      </c>
    </row>
    <row r="10" spans="1:16" x14ac:dyDescent="0.25">
      <c r="A10" s="10" t="s">
        <v>7</v>
      </c>
      <c r="B10" s="1">
        <f>AVERAGE(B$3:B$7)</f>
        <v>9.6</v>
      </c>
      <c r="C10" s="1">
        <f t="shared" ref="C10:G10" si="5">AVERAGE(C$3:C$7)</f>
        <v>10.199999999999999</v>
      </c>
      <c r="D10" s="1">
        <f t="shared" si="5"/>
        <v>9.6</v>
      </c>
      <c r="E10" s="1">
        <f t="shared" si="5"/>
        <v>5.4</v>
      </c>
      <c r="F10" s="1">
        <f t="shared" si="5"/>
        <v>5.6</v>
      </c>
      <c r="G10" s="1">
        <f t="shared" si="5"/>
        <v>4.8</v>
      </c>
      <c r="I10" s="11" t="s">
        <v>4</v>
      </c>
      <c r="J10" s="4" t="s">
        <v>1</v>
      </c>
      <c r="K10" s="1" t="b">
        <f xml:space="preserve"> IF(_xlfn.F.DIST(_xlfn.F.TEST($F$3:$F$7,B7:B11), COUNT($F$3:$F$7)-1, COUNT(B7:B11)-1, TRUE) &lt; $J$2, FALSE, TRUE)</f>
        <v>1</v>
      </c>
      <c r="L10" s="1" t="b">
        <f t="shared" ref="L10:P10" si="6" xml:space="preserve"> IF(_xlfn.F.DIST(_xlfn.F.TEST($F$3:$F$7,C7:C11), COUNT($F$3:$F$7)-1, COUNT(C7:C11)-1, TRUE) &lt; $J$2, FALSE, TRUE)</f>
        <v>1</v>
      </c>
      <c r="M10" s="1" t="b">
        <f t="shared" si="6"/>
        <v>1</v>
      </c>
      <c r="N10" s="1" t="b">
        <f t="shared" si="6"/>
        <v>1</v>
      </c>
      <c r="O10" s="1"/>
      <c r="P10" s="1" t="b">
        <f t="shared" si="6"/>
        <v>1</v>
      </c>
    </row>
    <row r="11" spans="1:16" x14ac:dyDescent="0.25">
      <c r="A11" s="10" t="s">
        <v>8</v>
      </c>
      <c r="B11" s="1">
        <f>_xlfn.STDEV.S(B$3:B$7)</f>
        <v>4.6690470119715002</v>
      </c>
      <c r="C11" s="1">
        <f t="shared" ref="C11:G11" si="7">_xlfn.STDEV.S(C$3:C$7)</f>
        <v>4.3243496620879291</v>
      </c>
      <c r="D11" s="1">
        <f t="shared" si="7"/>
        <v>4.2778499272414869</v>
      </c>
      <c r="E11" s="1">
        <f t="shared" si="7"/>
        <v>2.4083189157584584</v>
      </c>
      <c r="F11" s="1">
        <f t="shared" si="7"/>
        <v>2.4083189157584584</v>
      </c>
      <c r="G11" s="1">
        <f t="shared" si="7"/>
        <v>2.7748873851023212</v>
      </c>
      <c r="I11" s="8"/>
      <c r="J11" s="4" t="s">
        <v>2</v>
      </c>
      <c r="K11" s="1" t="b">
        <f xml:space="preserve"> IF(_xlfn.F.DIST(_xlfn.F.TEST($G$3:$G$7,B8:B12), COUNT($G$3:$G$7)-1, COUNT(B8:B12)-1, TRUE) &lt; $J$2, FALSE, TRUE)</f>
        <v>1</v>
      </c>
      <c r="L11" s="1" t="b">
        <f t="shared" ref="L11:O11" si="8" xml:space="preserve"> IF(_xlfn.F.DIST(_xlfn.F.TEST($G$3:$G$7,C8:C12), COUNT($G$3:$G$7)-1, COUNT(C8:C12)-1, TRUE) &lt; $J$2, FALSE, TRUE)</f>
        <v>1</v>
      </c>
      <c r="M11" s="1" t="b">
        <f t="shared" si="8"/>
        <v>1</v>
      </c>
      <c r="N11" s="1" t="b">
        <f t="shared" si="8"/>
        <v>1</v>
      </c>
      <c r="O11" s="1" t="b">
        <f t="shared" si="8"/>
        <v>1</v>
      </c>
      <c r="P11" s="1"/>
    </row>
    <row r="12" spans="1:16" x14ac:dyDescent="0.25">
      <c r="A12" s="10" t="s">
        <v>9</v>
      </c>
      <c r="B12" s="1">
        <f>B$11 / SQRT(B$9)</f>
        <v>2.0880613017821097</v>
      </c>
      <c r="C12" s="1">
        <f t="shared" ref="C12:G12" si="9">C$11 / SQRT(C$9)</f>
        <v>1.9339079605813709</v>
      </c>
      <c r="D12" s="1">
        <f t="shared" si="9"/>
        <v>1.9131126469708988</v>
      </c>
      <c r="E12" s="1">
        <f t="shared" si="9"/>
        <v>1.0770329614269005</v>
      </c>
      <c r="F12" s="1">
        <f t="shared" si="9"/>
        <v>1.0770329614269005</v>
      </c>
      <c r="G12" s="1">
        <f t="shared" si="9"/>
        <v>1.2409673645990855</v>
      </c>
    </row>
    <row r="14" spans="1:16" x14ac:dyDescent="0.25">
      <c r="A14" s="10" t="s">
        <v>11</v>
      </c>
      <c r="B14" s="1">
        <f>B$9 * (SKEW(B$3:B$7)^2 + ((KURT(B$3:B$7)^2)/4))</f>
        <v>1.8239048626455268</v>
      </c>
      <c r="C14" s="1">
        <f t="shared" ref="C14:G14" si="10">C$9 * (SKEW(C$3:C$7)^2 + ((KURT(C$3:C$7)^2)/4))</f>
        <v>1.8720929940536581</v>
      </c>
      <c r="D14" s="1">
        <f t="shared" si="10"/>
        <v>0.99395384157971056</v>
      </c>
      <c r="E14" s="1">
        <f t="shared" si="10"/>
        <v>2.9251899174444187</v>
      </c>
      <c r="F14" s="1">
        <f t="shared" si="10"/>
        <v>2.9251899174444169</v>
      </c>
      <c r="G14" s="1">
        <f t="shared" si="10"/>
        <v>2.609632691521631</v>
      </c>
      <c r="I14" s="12" t="s">
        <v>15</v>
      </c>
      <c r="J14" s="13"/>
      <c r="K14" s="3"/>
      <c r="L14" s="9" t="s">
        <v>3</v>
      </c>
      <c r="M14" s="4"/>
      <c r="N14" s="3"/>
      <c r="O14" s="9" t="s">
        <v>4</v>
      </c>
      <c r="P14" s="4"/>
    </row>
    <row r="15" spans="1:16" x14ac:dyDescent="0.25">
      <c r="A15" s="10" t="s">
        <v>12</v>
      </c>
      <c r="B15" s="1">
        <f t="shared" ref="B15:G15" si="11" xml:space="preserve"> _xlfn.CHISQ.DIST.RT(B$14, 2)</f>
        <v>0.40173908984016782</v>
      </c>
      <c r="C15" s="1">
        <f t="shared" si="11"/>
        <v>0.39217524048688357</v>
      </c>
      <c r="D15" s="1">
        <f t="shared" si="11"/>
        <v>0.60836702427955269</v>
      </c>
      <c r="E15" s="1">
        <f t="shared" si="11"/>
        <v>0.23163441242469002</v>
      </c>
      <c r="F15" s="1">
        <f t="shared" si="11"/>
        <v>0.23163441242469021</v>
      </c>
      <c r="G15" s="1">
        <f t="shared" si="11"/>
        <v>0.27122234160466424</v>
      </c>
      <c r="I15" s="14"/>
      <c r="J15" s="15"/>
      <c r="K15" s="5" t="s">
        <v>0</v>
      </c>
      <c r="L15" s="5" t="s">
        <v>1</v>
      </c>
      <c r="M15" s="5" t="s">
        <v>2</v>
      </c>
      <c r="N15" s="5" t="s">
        <v>0</v>
      </c>
      <c r="O15" s="5" t="s">
        <v>1</v>
      </c>
      <c r="P15" s="5" t="s">
        <v>2</v>
      </c>
    </row>
    <row r="16" spans="1:16" x14ac:dyDescent="0.25">
      <c r="A16" s="10" t="s">
        <v>13</v>
      </c>
      <c r="B16" s="1" t="b">
        <f xml:space="preserve"> IF(B$15 &lt; $J$2, FALSE, TRUE)</f>
        <v>1</v>
      </c>
      <c r="C16" s="1" t="b">
        <f t="shared" ref="C16:G16" si="12" xml:space="preserve"> IF(C$15 &lt; $J$2, FALSE, TRUE)</f>
        <v>1</v>
      </c>
      <c r="D16" s="1" t="b">
        <f t="shared" si="12"/>
        <v>1</v>
      </c>
      <c r="E16" s="1" t="b">
        <f t="shared" si="12"/>
        <v>1</v>
      </c>
      <c r="F16" s="1" t="b">
        <f t="shared" si="12"/>
        <v>1</v>
      </c>
      <c r="G16" s="1" t="b">
        <f t="shared" si="12"/>
        <v>1</v>
      </c>
      <c r="I16" s="6"/>
      <c r="J16" s="4" t="s">
        <v>0</v>
      </c>
      <c r="K16" s="16"/>
      <c r="L16" s="1" t="str">
        <f xml:space="preserve"> IF(_xlfn.T.TEST(C$3:C$7,B$3:B$7,2,IF(L6, 2, 3)) &lt; $J$2, "Statistically different", "Not statistically different")</f>
        <v>Not statistically different</v>
      </c>
      <c r="M16" s="1" t="str">
        <f xml:space="preserve"> IF(_xlfn.T.TEST(B$3:B$7,D$3:D$7,2,IF(M6, 2, 3)) &lt; $J$2, "Statistically different", "Not statistically different")</f>
        <v>Not statistically different</v>
      </c>
      <c r="N16" s="16"/>
      <c r="O16" s="16"/>
      <c r="P16" s="16"/>
    </row>
    <row r="17" spans="1:16" x14ac:dyDescent="0.25">
      <c r="I17" s="11" t="s">
        <v>3</v>
      </c>
      <c r="J17" s="4" t="s">
        <v>1</v>
      </c>
      <c r="K17" s="16"/>
      <c r="L17" s="16"/>
      <c r="M17" s="1" t="str">
        <f xml:space="preserve"> IF(_xlfn.T.TEST(D$4:D$8,C$4:C$8,2,IF(M7, 2, 3)) &lt; $J$2, "Statistically different", "Not statistically different")</f>
        <v>Not statistically different</v>
      </c>
      <c r="N17" s="16"/>
      <c r="O17" s="16"/>
      <c r="P17" s="16"/>
    </row>
    <row r="18" spans="1:16" x14ac:dyDescent="0.25">
      <c r="I18" s="7"/>
      <c r="J18" s="4" t="s">
        <v>2</v>
      </c>
      <c r="K18" s="16"/>
      <c r="L18" s="16"/>
      <c r="M18" s="16"/>
      <c r="N18" s="16"/>
      <c r="O18" s="16"/>
      <c r="P18" s="16"/>
    </row>
    <row r="19" spans="1:16" x14ac:dyDescent="0.25">
      <c r="I19" s="6"/>
      <c r="J19" s="4" t="s">
        <v>0</v>
      </c>
      <c r="K19" s="16"/>
      <c r="L19" s="16"/>
      <c r="M19" s="16"/>
      <c r="N19" s="16"/>
      <c r="O19" s="16"/>
      <c r="P19" s="16"/>
    </row>
    <row r="20" spans="1:16" x14ac:dyDescent="0.25">
      <c r="I20" s="11" t="s">
        <v>4</v>
      </c>
      <c r="J20" s="4" t="s">
        <v>1</v>
      </c>
      <c r="K20" s="16"/>
      <c r="L20" s="16"/>
      <c r="M20" s="16"/>
      <c r="N20" s="1" t="str">
        <f xml:space="preserve"> IF(_xlfn.T.TEST(E$3:E$7,F$3:F$7,2,IF(N10, 2, 3)) &lt; $J$2, "Statistically different", "Not statistically different")</f>
        <v>Not statistically different</v>
      </c>
      <c r="O20" s="16"/>
      <c r="P20" s="16"/>
    </row>
    <row r="21" spans="1:16" x14ac:dyDescent="0.25">
      <c r="I21" s="8"/>
      <c r="J21" s="4" t="s">
        <v>2</v>
      </c>
      <c r="K21" s="16"/>
      <c r="L21" s="16"/>
      <c r="M21" s="16"/>
      <c r="N21" s="1" t="str">
        <f xml:space="preserve"> IF(_xlfn.T.TEST(E$3:E$7,G$3:G$7,2,IF(N11, 2, 3)) &lt; $J$2, "Statistically different", "Not statistically different")</f>
        <v>Not statistically different</v>
      </c>
      <c r="O21" s="1" t="str">
        <f xml:space="preserve"> IF(_xlfn.T.TEST(F$3:F$7,G$3:G$7,2,IF(O11, 2, 3)) &lt; $J$2, "Statistically different", "Not statistically different")</f>
        <v>Not statistically different</v>
      </c>
      <c r="P21" s="16"/>
    </row>
    <row r="23" spans="1:16" x14ac:dyDescent="0.25">
      <c r="I23" s="12" t="s">
        <v>16</v>
      </c>
      <c r="J23" s="13"/>
      <c r="K23" s="3"/>
      <c r="L23" s="9" t="s">
        <v>3</v>
      </c>
      <c r="M23" s="4"/>
      <c r="N23" s="3"/>
      <c r="O23" s="9" t="s">
        <v>4</v>
      </c>
      <c r="P23" s="4"/>
    </row>
    <row r="24" spans="1:16" x14ac:dyDescent="0.25">
      <c r="I24" s="14"/>
      <c r="J24" s="15"/>
      <c r="K24" s="5" t="s">
        <v>0</v>
      </c>
      <c r="L24" s="5" t="s">
        <v>1</v>
      </c>
      <c r="M24" s="5" t="s">
        <v>2</v>
      </c>
      <c r="N24" s="5" t="s">
        <v>0</v>
      </c>
      <c r="O24" s="5" t="s">
        <v>1</v>
      </c>
      <c r="P24" s="5" t="s">
        <v>2</v>
      </c>
    </row>
    <row r="25" spans="1:16" x14ac:dyDescent="0.25">
      <c r="I25" s="6"/>
      <c r="J25" s="4" t="s">
        <v>0</v>
      </c>
      <c r="K25" s="16"/>
      <c r="L25" s="16"/>
      <c r="M25" s="16"/>
      <c r="N25" s="16"/>
      <c r="O25" s="16"/>
      <c r="P25" s="16"/>
    </row>
    <row r="26" spans="1:16" x14ac:dyDescent="0.25">
      <c r="I26" s="11" t="s">
        <v>3</v>
      </c>
      <c r="J26" s="4" t="s">
        <v>1</v>
      </c>
      <c r="K26" s="17"/>
      <c r="L26" s="16"/>
      <c r="M26" s="16"/>
      <c r="N26" s="16"/>
      <c r="O26" s="16"/>
      <c r="P26" s="16"/>
    </row>
    <row r="27" spans="1:16" x14ac:dyDescent="0.25">
      <c r="I27" s="7"/>
      <c r="J27" s="4" t="s">
        <v>2</v>
      </c>
      <c r="K27" s="16"/>
      <c r="L27" s="16"/>
      <c r="M27" s="16"/>
      <c r="N27" s="16"/>
      <c r="O27" s="16"/>
      <c r="P27" s="16"/>
    </row>
    <row r="28" spans="1:16" x14ac:dyDescent="0.25">
      <c r="I28" s="6"/>
      <c r="J28" s="4" t="s">
        <v>0</v>
      </c>
      <c r="K28" s="1" t="str">
        <f xml:space="preserve"> IF(_xlfn.T.TEST($B$3:$B$7,$E$3:$E$7,2,1) &lt; $J$2, "Statistically different", "Not statistically different")</f>
        <v>Not statistically different</v>
      </c>
      <c r="L28" s="16"/>
      <c r="M28" s="16"/>
      <c r="N28" s="16"/>
      <c r="O28" s="16"/>
      <c r="P28" s="16"/>
    </row>
    <row r="29" spans="1:16" x14ac:dyDescent="0.25">
      <c r="I29" s="11" t="s">
        <v>4</v>
      </c>
      <c r="J29" s="4" t="s">
        <v>1</v>
      </c>
      <c r="K29" s="16"/>
      <c r="L29" s="1" t="str">
        <f xml:space="preserve"> IF(_xlfn.T.TEST($C$3:$C$7,$F$3:$F$7,2,1) &lt; $J$2, "Statistically different", "Not statistically different")</f>
        <v>Not statistically different</v>
      </c>
      <c r="M29" s="16"/>
      <c r="N29" s="16"/>
      <c r="O29" s="16"/>
      <c r="P29" s="16"/>
    </row>
    <row r="30" spans="1:16" x14ac:dyDescent="0.25">
      <c r="I30" s="8"/>
      <c r="J30" s="4" t="s">
        <v>2</v>
      </c>
      <c r="K30" s="16"/>
      <c r="L30" s="16"/>
      <c r="M30" s="1" t="str">
        <f xml:space="preserve"> IF(_xlfn.T.TEST($D$3:$D$7,$G$3:$G$7,2,1) &lt; $J$2, "Statistically different", "Not statistically different")</f>
        <v>Not statistically different</v>
      </c>
      <c r="N30" s="16"/>
      <c r="O30" s="16"/>
      <c r="P30" s="16"/>
    </row>
    <row r="31" spans="1:16" ht="120" x14ac:dyDescent="0.25">
      <c r="A31" s="41" t="s">
        <v>102</v>
      </c>
    </row>
    <row r="35" spans="1:12" x14ac:dyDescent="0.25">
      <c r="A35" t="s">
        <v>38</v>
      </c>
      <c r="E35" t="s">
        <v>38</v>
      </c>
      <c r="J35" t="s">
        <v>47</v>
      </c>
    </row>
    <row r="36" spans="1:12" ht="15.75" thickBot="1" x14ac:dyDescent="0.3"/>
    <row r="37" spans="1:12" x14ac:dyDescent="0.25">
      <c r="A37" s="19"/>
      <c r="B37" s="19" t="s">
        <v>0</v>
      </c>
      <c r="C37" s="19" t="s">
        <v>1</v>
      </c>
      <c r="E37" s="19"/>
      <c r="F37" s="19" t="s">
        <v>0</v>
      </c>
      <c r="G37" s="19" t="s">
        <v>2</v>
      </c>
      <c r="J37" s="19"/>
      <c r="K37" s="19" t="s">
        <v>1</v>
      </c>
      <c r="L37" s="19" t="s">
        <v>1</v>
      </c>
    </row>
    <row r="38" spans="1:12" x14ac:dyDescent="0.25">
      <c r="A38" t="s">
        <v>25</v>
      </c>
      <c r="B38">
        <v>9.6</v>
      </c>
      <c r="C38">
        <v>10.199999999999999</v>
      </c>
      <c r="E38" t="s">
        <v>25</v>
      </c>
      <c r="F38">
        <v>9.6</v>
      </c>
      <c r="G38">
        <v>9.6</v>
      </c>
      <c r="J38" t="s">
        <v>25</v>
      </c>
      <c r="K38">
        <v>10.199999999999999</v>
      </c>
      <c r="L38">
        <v>5.6</v>
      </c>
    </row>
    <row r="39" spans="1:12" x14ac:dyDescent="0.25">
      <c r="A39" t="s">
        <v>26</v>
      </c>
      <c r="B39">
        <v>21.799999999999997</v>
      </c>
      <c r="C39">
        <v>18.699999999999989</v>
      </c>
      <c r="E39" t="s">
        <v>26</v>
      </c>
      <c r="F39">
        <v>21.799999999999997</v>
      </c>
      <c r="G39">
        <v>18.299999999999997</v>
      </c>
      <c r="J39" t="s">
        <v>26</v>
      </c>
      <c r="K39">
        <v>18.699999999999989</v>
      </c>
      <c r="L39">
        <v>5.7999999999999972</v>
      </c>
    </row>
    <row r="40" spans="1:12" x14ac:dyDescent="0.25">
      <c r="A40" t="s">
        <v>39</v>
      </c>
      <c r="B40">
        <v>5</v>
      </c>
      <c r="C40">
        <v>5</v>
      </c>
      <c r="E40" t="s">
        <v>39</v>
      </c>
      <c r="F40">
        <v>5</v>
      </c>
      <c r="G40">
        <v>5</v>
      </c>
      <c r="J40" t="s">
        <v>39</v>
      </c>
      <c r="K40">
        <v>5</v>
      </c>
      <c r="L40">
        <v>5</v>
      </c>
    </row>
    <row r="41" spans="1:12" x14ac:dyDescent="0.25">
      <c r="A41" t="s">
        <v>40</v>
      </c>
      <c r="B41">
        <v>20.249999999999993</v>
      </c>
      <c r="E41" t="s">
        <v>40</v>
      </c>
      <c r="F41">
        <v>20.049999999999997</v>
      </c>
      <c r="J41" t="s">
        <v>48</v>
      </c>
      <c r="K41">
        <v>-0.51851217668840444</v>
      </c>
    </row>
    <row r="42" spans="1:12" x14ac:dyDescent="0.25">
      <c r="A42" t="s">
        <v>41</v>
      </c>
      <c r="B42">
        <v>0</v>
      </c>
      <c r="E42" t="s">
        <v>41</v>
      </c>
      <c r="F42">
        <v>0</v>
      </c>
      <c r="J42" t="s">
        <v>41</v>
      </c>
      <c r="K42">
        <v>0</v>
      </c>
    </row>
    <row r="43" spans="1:12" x14ac:dyDescent="0.25">
      <c r="A43" t="s">
        <v>30</v>
      </c>
      <c r="B43">
        <v>8</v>
      </c>
      <c r="E43" t="s">
        <v>30</v>
      </c>
      <c r="F43">
        <v>8</v>
      </c>
      <c r="J43" t="s">
        <v>30</v>
      </c>
      <c r="K43">
        <v>4</v>
      </c>
    </row>
    <row r="44" spans="1:12" x14ac:dyDescent="0.25">
      <c r="A44" t="s">
        <v>42</v>
      </c>
      <c r="B44">
        <v>-0.21081851067789184</v>
      </c>
      <c r="E44" t="s">
        <v>42</v>
      </c>
      <c r="F44">
        <v>0</v>
      </c>
      <c r="J44" t="s">
        <v>42</v>
      </c>
      <c r="K44">
        <v>1.7312328378384574</v>
      </c>
    </row>
    <row r="45" spans="1:12" x14ac:dyDescent="0.25">
      <c r="A45" t="s">
        <v>43</v>
      </c>
      <c r="B45">
        <v>0.41914987488842231</v>
      </c>
      <c r="E45" t="s">
        <v>43</v>
      </c>
      <c r="F45">
        <v>0.5</v>
      </c>
      <c r="J45" t="s">
        <v>43</v>
      </c>
      <c r="K45">
        <v>7.9226963519622995E-2</v>
      </c>
    </row>
    <row r="46" spans="1:12" x14ac:dyDescent="0.25">
      <c r="A46" t="s">
        <v>44</v>
      </c>
      <c r="B46">
        <v>1.8595480375308981</v>
      </c>
      <c r="E46" t="s">
        <v>44</v>
      </c>
      <c r="F46">
        <v>1.8595480375308981</v>
      </c>
      <c r="J46" t="s">
        <v>44</v>
      </c>
      <c r="K46">
        <v>2.1318467863266499</v>
      </c>
    </row>
    <row r="47" spans="1:12" x14ac:dyDescent="0.25">
      <c r="A47" t="s">
        <v>45</v>
      </c>
      <c r="B47">
        <v>0.83829974977684463</v>
      </c>
      <c r="E47" t="s">
        <v>45</v>
      </c>
      <c r="F47">
        <v>1</v>
      </c>
      <c r="J47" t="s">
        <v>45</v>
      </c>
      <c r="K47">
        <v>0.15845392703924599</v>
      </c>
    </row>
    <row r="48" spans="1:12" ht="15.75" thickBot="1" x14ac:dyDescent="0.3">
      <c r="A48" s="18" t="s">
        <v>46</v>
      </c>
      <c r="B48" s="18">
        <v>2.3060041352041671</v>
      </c>
      <c r="C48" s="18"/>
      <c r="E48" s="18" t="s">
        <v>46</v>
      </c>
      <c r="F48" s="18">
        <v>2.3060041352041671</v>
      </c>
      <c r="G48" s="18"/>
      <c r="J48" s="18" t="s">
        <v>46</v>
      </c>
      <c r="K48" s="18">
        <v>2.7764451051977934</v>
      </c>
      <c r="L48" s="18"/>
    </row>
    <row r="52" spans="5:7" x14ac:dyDescent="0.25">
      <c r="E52" t="s">
        <v>38</v>
      </c>
    </row>
    <row r="53" spans="5:7" ht="15.75" thickBot="1" x14ac:dyDescent="0.3"/>
    <row r="54" spans="5:7" x14ac:dyDescent="0.25">
      <c r="E54" s="19"/>
      <c r="F54" s="19" t="s">
        <v>2</v>
      </c>
      <c r="G54" s="19" t="s">
        <v>0</v>
      </c>
    </row>
    <row r="55" spans="5:7" x14ac:dyDescent="0.25">
      <c r="E55" t="s">
        <v>25</v>
      </c>
      <c r="F55">
        <v>9.6</v>
      </c>
      <c r="G55">
        <v>9.6</v>
      </c>
    </row>
    <row r="56" spans="5:7" x14ac:dyDescent="0.25">
      <c r="E56" t="s">
        <v>26</v>
      </c>
      <c r="F56">
        <v>18.299999999999997</v>
      </c>
      <c r="G56">
        <v>21.799999999999997</v>
      </c>
    </row>
    <row r="57" spans="5:7" x14ac:dyDescent="0.25">
      <c r="E57" t="s">
        <v>39</v>
      </c>
      <c r="F57">
        <v>5</v>
      </c>
      <c r="G57">
        <v>5</v>
      </c>
    </row>
    <row r="58" spans="5:7" x14ac:dyDescent="0.25">
      <c r="E58" t="s">
        <v>40</v>
      </c>
      <c r="F58">
        <v>20.049999999999997</v>
      </c>
    </row>
    <row r="59" spans="5:7" x14ac:dyDescent="0.25">
      <c r="E59" t="s">
        <v>41</v>
      </c>
      <c r="F59">
        <v>0</v>
      </c>
    </row>
    <row r="60" spans="5:7" x14ac:dyDescent="0.25">
      <c r="E60" t="s">
        <v>30</v>
      </c>
      <c r="F60">
        <v>8</v>
      </c>
    </row>
    <row r="61" spans="5:7" x14ac:dyDescent="0.25">
      <c r="E61" t="s">
        <v>42</v>
      </c>
      <c r="F61">
        <v>0</v>
      </c>
    </row>
    <row r="62" spans="5:7" x14ac:dyDescent="0.25">
      <c r="E62" t="s">
        <v>43</v>
      </c>
      <c r="F62">
        <v>0.5</v>
      </c>
    </row>
    <row r="63" spans="5:7" x14ac:dyDescent="0.25">
      <c r="E63" t="s">
        <v>44</v>
      </c>
      <c r="F63">
        <v>1.8595480375308981</v>
      </c>
    </row>
    <row r="64" spans="5:7" x14ac:dyDescent="0.25">
      <c r="E64" t="s">
        <v>45</v>
      </c>
      <c r="F64">
        <v>1</v>
      </c>
    </row>
    <row r="65" spans="1:7" ht="15.75" thickBot="1" x14ac:dyDescent="0.3">
      <c r="E65" s="18" t="s">
        <v>46</v>
      </c>
      <c r="F65" s="18">
        <v>2.3060041352041671</v>
      </c>
      <c r="G65" s="18"/>
    </row>
    <row r="79" spans="1:7" x14ac:dyDescent="0.25">
      <c r="A79" s="37"/>
      <c r="B79" s="37"/>
      <c r="C79" s="37"/>
      <c r="D79" s="37"/>
      <c r="E79" s="37"/>
      <c r="F79" s="37"/>
      <c r="G79" s="37"/>
    </row>
    <row r="80" spans="1:7" x14ac:dyDescent="0.25">
      <c r="A80" s="37"/>
      <c r="B80" s="37"/>
      <c r="C80" s="37"/>
      <c r="D80" s="37"/>
      <c r="E80" s="37"/>
      <c r="F80" s="37"/>
      <c r="G80" s="37"/>
    </row>
    <row r="81" spans="1:7" x14ac:dyDescent="0.25">
      <c r="A81" s="37"/>
      <c r="B81" s="37"/>
      <c r="C81" s="37"/>
      <c r="D81" s="37"/>
      <c r="E81" s="37"/>
      <c r="F81" s="37"/>
      <c r="G81" s="37"/>
    </row>
    <row r="82" spans="1:7" x14ac:dyDescent="0.25">
      <c r="A82" s="37"/>
      <c r="B82" s="37"/>
      <c r="C82" s="37"/>
      <c r="D82" s="37"/>
      <c r="E82" s="37"/>
      <c r="F82" s="37"/>
      <c r="G82" s="37"/>
    </row>
    <row r="83" spans="1:7" x14ac:dyDescent="0.25">
      <c r="A83" s="38"/>
      <c r="B83" s="38"/>
      <c r="C83" s="38"/>
      <c r="D83" s="38"/>
      <c r="E83" s="38"/>
      <c r="F83" s="38"/>
      <c r="G83" s="38"/>
    </row>
    <row r="84" spans="1:7" x14ac:dyDescent="0.25">
      <c r="A84" s="36"/>
      <c r="B84" s="36"/>
      <c r="C84" s="36"/>
      <c r="D84" s="36"/>
      <c r="E84" s="36"/>
      <c r="F84" s="36"/>
      <c r="G84" s="36"/>
    </row>
    <row r="85" spans="1:7" x14ac:dyDescent="0.25">
      <c r="A85" s="36"/>
      <c r="B85" s="36"/>
      <c r="C85" s="36"/>
      <c r="D85" s="36"/>
      <c r="E85" s="36"/>
      <c r="F85" s="36"/>
      <c r="G85" s="36"/>
    </row>
    <row r="86" spans="1:7" x14ac:dyDescent="0.25">
      <c r="A86" s="36"/>
      <c r="B86" s="36"/>
      <c r="C86" s="36"/>
      <c r="D86" s="36"/>
      <c r="E86" s="36"/>
      <c r="F86" s="36"/>
      <c r="G86" s="36"/>
    </row>
    <row r="87" spans="1:7" x14ac:dyDescent="0.25">
      <c r="A87" s="36"/>
      <c r="B87" s="36"/>
      <c r="C87" s="36"/>
      <c r="D87" s="36"/>
      <c r="E87" s="36"/>
      <c r="F87" s="36"/>
      <c r="G87" s="36"/>
    </row>
    <row r="88" spans="1:7" x14ac:dyDescent="0.25">
      <c r="A88" s="36"/>
      <c r="B88" s="36"/>
      <c r="C88" s="36"/>
      <c r="D88" s="36"/>
      <c r="E88" s="36"/>
      <c r="F88" s="36"/>
      <c r="G88" s="36"/>
    </row>
    <row r="89" spans="1:7" x14ac:dyDescent="0.25">
      <c r="A89" s="38"/>
      <c r="B89" s="38"/>
      <c r="C89" s="38"/>
      <c r="D89" s="38"/>
      <c r="E89" s="38"/>
      <c r="F89" s="38"/>
      <c r="G89" s="38"/>
    </row>
    <row r="90" spans="1:7" x14ac:dyDescent="0.25">
      <c r="A90" s="36"/>
      <c r="B90" s="36"/>
      <c r="C90" s="36"/>
      <c r="D90" s="36"/>
      <c r="E90" s="36"/>
      <c r="F90" s="36"/>
      <c r="G90" s="36"/>
    </row>
    <row r="91" spans="1:7" x14ac:dyDescent="0.25">
      <c r="A91" s="36"/>
      <c r="B91" s="36"/>
      <c r="C91" s="36"/>
      <c r="D91" s="36"/>
      <c r="E91" s="36"/>
      <c r="F91" s="36"/>
      <c r="G91" s="36"/>
    </row>
    <row r="92" spans="1:7" x14ac:dyDescent="0.25">
      <c r="A92" s="36"/>
      <c r="B92" s="36"/>
      <c r="C92" s="36"/>
      <c r="D92" s="36"/>
      <c r="E92" s="36"/>
      <c r="F92" s="36"/>
      <c r="G92" s="36"/>
    </row>
    <row r="93" spans="1:7" x14ac:dyDescent="0.25">
      <c r="A93" s="36"/>
      <c r="B93" s="36"/>
      <c r="C93" s="36"/>
      <c r="D93" s="36"/>
      <c r="E93" s="36"/>
      <c r="F93" s="36"/>
      <c r="G93" s="36"/>
    </row>
    <row r="94" spans="1:7" x14ac:dyDescent="0.25">
      <c r="A94" s="36"/>
      <c r="B94" s="36"/>
      <c r="C94" s="36"/>
      <c r="D94" s="36"/>
      <c r="E94" s="36"/>
      <c r="F94" s="36"/>
      <c r="G94" s="36"/>
    </row>
    <row r="95" spans="1:7" x14ac:dyDescent="0.25">
      <c r="A95" s="38"/>
      <c r="B95" s="38"/>
      <c r="C95" s="38"/>
      <c r="D95" s="38"/>
      <c r="E95" s="38"/>
      <c r="F95" s="38"/>
      <c r="G95" s="38"/>
    </row>
    <row r="96" spans="1:7" x14ac:dyDescent="0.25">
      <c r="A96" s="36"/>
      <c r="B96" s="36"/>
      <c r="C96" s="36"/>
      <c r="D96" s="36"/>
      <c r="E96" s="36"/>
      <c r="F96" s="36"/>
      <c r="G96" s="36"/>
    </row>
    <row r="97" spans="1:7" x14ac:dyDescent="0.25">
      <c r="A97" s="36"/>
      <c r="B97" s="36"/>
      <c r="C97" s="36"/>
      <c r="D97" s="36"/>
      <c r="E97" s="36"/>
      <c r="F97" s="36"/>
      <c r="G97" s="36"/>
    </row>
    <row r="98" spans="1:7" x14ac:dyDescent="0.25">
      <c r="A98" s="36"/>
      <c r="B98" s="36"/>
      <c r="C98" s="36"/>
      <c r="D98" s="36"/>
      <c r="E98" s="36"/>
      <c r="F98" s="36"/>
      <c r="G98" s="36"/>
    </row>
    <row r="99" spans="1:7" x14ac:dyDescent="0.25">
      <c r="A99" s="36"/>
      <c r="B99" s="36"/>
      <c r="C99" s="36"/>
      <c r="D99" s="36"/>
      <c r="E99" s="36"/>
      <c r="F99" s="36"/>
      <c r="G99" s="36"/>
    </row>
    <row r="100" spans="1:7" x14ac:dyDescent="0.25">
      <c r="A100" s="36"/>
      <c r="B100" s="36"/>
      <c r="C100" s="36"/>
      <c r="D100" s="36"/>
      <c r="E100" s="36"/>
      <c r="F100" s="36"/>
      <c r="G100" s="36"/>
    </row>
    <row r="101" spans="1:7" x14ac:dyDescent="0.25">
      <c r="A101" s="38"/>
      <c r="B101" s="38"/>
      <c r="C101" s="38"/>
      <c r="D101" s="38"/>
      <c r="E101" s="38"/>
      <c r="F101" s="38"/>
      <c r="G101" s="38"/>
    </row>
    <row r="102" spans="1:7" x14ac:dyDescent="0.25">
      <c r="A102" s="36"/>
      <c r="B102" s="36"/>
      <c r="C102" s="36"/>
      <c r="D102" s="36"/>
      <c r="E102" s="36"/>
      <c r="F102" s="36"/>
      <c r="G102" s="36"/>
    </row>
    <row r="103" spans="1:7" x14ac:dyDescent="0.25">
      <c r="A103" s="36"/>
      <c r="B103" s="36"/>
      <c r="C103" s="36"/>
      <c r="D103" s="36"/>
      <c r="E103" s="36"/>
      <c r="F103" s="36"/>
      <c r="G103" s="36"/>
    </row>
    <row r="104" spans="1:7" x14ac:dyDescent="0.25">
      <c r="A104" s="36"/>
      <c r="B104" s="36"/>
      <c r="C104" s="36"/>
      <c r="D104" s="36"/>
      <c r="E104" s="36"/>
      <c r="F104" s="36"/>
      <c r="G104" s="36"/>
    </row>
    <row r="105" spans="1:7" x14ac:dyDescent="0.25">
      <c r="A105" s="36"/>
      <c r="B105" s="36"/>
      <c r="C105" s="36"/>
      <c r="D105" s="36"/>
      <c r="E105" s="36"/>
      <c r="F105" s="36"/>
      <c r="G105" s="36"/>
    </row>
    <row r="106" spans="1:7" x14ac:dyDescent="0.25">
      <c r="A106" s="36"/>
      <c r="B106" s="36"/>
      <c r="C106" s="36"/>
      <c r="D106" s="36"/>
      <c r="E106" s="36"/>
      <c r="F106" s="36"/>
      <c r="G106" s="36"/>
    </row>
    <row r="107" spans="1:7" x14ac:dyDescent="0.25">
      <c r="A107" s="38"/>
      <c r="B107" s="38"/>
      <c r="C107" s="38"/>
      <c r="D107" s="38"/>
      <c r="E107" s="38"/>
      <c r="F107" s="38"/>
      <c r="G107" s="37"/>
    </row>
    <row r="108" spans="1:7" x14ac:dyDescent="0.25">
      <c r="A108" s="36"/>
      <c r="B108" s="36"/>
      <c r="C108" s="36"/>
      <c r="D108" s="36"/>
      <c r="E108" s="36"/>
      <c r="F108" s="36"/>
      <c r="G108" s="37"/>
    </row>
    <row r="109" spans="1:7" x14ac:dyDescent="0.25">
      <c r="A109" s="36"/>
      <c r="B109" s="36"/>
      <c r="C109" s="36"/>
      <c r="D109" s="36"/>
      <c r="E109" s="36"/>
      <c r="F109" s="36"/>
      <c r="G109" s="37"/>
    </row>
    <row r="110" spans="1:7" x14ac:dyDescent="0.25">
      <c r="A110" s="36"/>
      <c r="B110" s="36"/>
      <c r="C110" s="36"/>
      <c r="D110" s="36"/>
      <c r="E110" s="36"/>
      <c r="F110" s="36"/>
      <c r="G110" s="37"/>
    </row>
    <row r="111" spans="1:7" x14ac:dyDescent="0.25">
      <c r="A111" s="36"/>
      <c r="B111" s="36"/>
      <c r="C111" s="36"/>
      <c r="D111" s="36"/>
      <c r="E111" s="36"/>
      <c r="F111" s="36"/>
      <c r="G111" s="37"/>
    </row>
    <row r="112" spans="1:7" x14ac:dyDescent="0.25">
      <c r="A112" s="36"/>
      <c r="B112" s="36"/>
      <c r="C112" s="36"/>
      <c r="D112" s="36"/>
      <c r="E112" s="36"/>
      <c r="F112" s="36"/>
      <c r="G112" s="37"/>
    </row>
    <row r="113" spans="1:7" x14ac:dyDescent="0.25">
      <c r="A113" s="37"/>
      <c r="B113" s="37"/>
      <c r="C113" s="37"/>
      <c r="D113" s="37"/>
      <c r="E113" s="37"/>
      <c r="F113" s="37"/>
      <c r="G113" s="37"/>
    </row>
    <row r="114" spans="1:7" x14ac:dyDescent="0.25">
      <c r="A114" s="37"/>
      <c r="B114" s="37"/>
      <c r="C114" s="37"/>
      <c r="D114" s="37"/>
      <c r="E114" s="37"/>
      <c r="F114" s="37"/>
      <c r="G114" s="37"/>
    </row>
    <row r="115" spans="1:7" x14ac:dyDescent="0.25">
      <c r="A115" s="39"/>
      <c r="B115" s="39"/>
      <c r="C115" s="39"/>
      <c r="D115" s="39"/>
      <c r="E115" s="39"/>
      <c r="F115" s="39"/>
      <c r="G115" s="39"/>
    </row>
    <row r="116" spans="1:7" x14ac:dyDescent="0.25">
      <c r="A116" s="36"/>
      <c r="B116" s="36"/>
      <c r="C116" s="36"/>
      <c r="D116" s="36"/>
      <c r="E116" s="36"/>
      <c r="F116" s="36"/>
      <c r="G116" s="36"/>
    </row>
    <row r="117" spans="1:7" x14ac:dyDescent="0.25">
      <c r="A117" s="36"/>
      <c r="B117" s="36"/>
      <c r="C117" s="36"/>
      <c r="D117" s="36"/>
      <c r="E117" s="36"/>
      <c r="F117" s="36"/>
      <c r="G117" s="36"/>
    </row>
    <row r="118" spans="1:7" x14ac:dyDescent="0.25">
      <c r="A118" s="36"/>
      <c r="B118" s="36"/>
      <c r="C118" s="36"/>
      <c r="D118" s="36"/>
      <c r="E118" s="36"/>
      <c r="F118" s="36"/>
      <c r="G118" s="36"/>
    </row>
    <row r="119" spans="1:7" x14ac:dyDescent="0.25">
      <c r="A119" s="36"/>
      <c r="B119" s="36"/>
      <c r="C119" s="36"/>
      <c r="D119" s="36"/>
      <c r="E119" s="36"/>
      <c r="F119" s="36"/>
      <c r="G119" s="36"/>
    </row>
    <row r="120" spans="1:7" x14ac:dyDescent="0.25">
      <c r="A120" s="36"/>
      <c r="B120" s="36"/>
      <c r="C120" s="36"/>
      <c r="D120" s="36"/>
      <c r="E120" s="36"/>
      <c r="F120" s="36"/>
      <c r="G120" s="36"/>
    </row>
    <row r="121" spans="1:7" x14ac:dyDescent="0.25">
      <c r="A121" s="36"/>
      <c r="B121" s="36"/>
      <c r="C121" s="36"/>
      <c r="D121" s="36"/>
      <c r="E121" s="36"/>
      <c r="F121" s="36"/>
      <c r="G121" s="36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6858-545A-4E7B-A235-D9964D70AF2B}">
  <dimension ref="A1:L17"/>
  <sheetViews>
    <sheetView workbookViewId="0">
      <selection activeCell="J14" sqref="J14"/>
    </sheetView>
  </sheetViews>
  <sheetFormatPr baseColWidth="10" defaultRowHeight="15" x14ac:dyDescent="0.25"/>
  <cols>
    <col min="6" max="6" width="33.5703125" bestFit="1" customWidth="1"/>
    <col min="7" max="7" width="20.85546875" bestFit="1" customWidth="1"/>
    <col min="8" max="8" width="17.7109375" bestFit="1" customWidth="1"/>
    <col min="9" max="9" width="27.28515625" bestFit="1" customWidth="1"/>
    <col min="10" max="10" width="13.28515625" bestFit="1" customWidth="1"/>
    <col min="11" max="11" width="12" bestFit="1" customWidth="1"/>
    <col min="12" max="12" width="16" bestFit="1" customWidth="1"/>
  </cols>
  <sheetData>
    <row r="1" spans="1:12" x14ac:dyDescent="0.25">
      <c r="A1" t="s">
        <v>17</v>
      </c>
      <c r="B1" t="s">
        <v>18</v>
      </c>
      <c r="C1" t="s">
        <v>19</v>
      </c>
    </row>
    <row r="2" spans="1:12" x14ac:dyDescent="0.25">
      <c r="A2">
        <v>5.0999999999999996</v>
      </c>
      <c r="B2">
        <v>2.9</v>
      </c>
      <c r="C2">
        <v>5.4</v>
      </c>
    </row>
    <row r="3" spans="1:12" x14ac:dyDescent="0.25">
      <c r="A3">
        <v>4.9000000000000004</v>
      </c>
      <c r="B3">
        <v>3.4</v>
      </c>
      <c r="C3">
        <v>5.9</v>
      </c>
      <c r="F3" t="s">
        <v>20</v>
      </c>
    </row>
    <row r="4" spans="1:12" x14ac:dyDescent="0.25">
      <c r="A4">
        <v>5.3</v>
      </c>
      <c r="B4">
        <v>3.7</v>
      </c>
      <c r="C4">
        <v>6.2</v>
      </c>
    </row>
    <row r="5" spans="1:12" ht="15.75" thickBot="1" x14ac:dyDescent="0.3">
      <c r="A5">
        <v>4.4000000000000004</v>
      </c>
      <c r="B5">
        <v>2.7</v>
      </c>
      <c r="C5">
        <v>5.2</v>
      </c>
      <c r="F5" t="s">
        <v>21</v>
      </c>
    </row>
    <row r="6" spans="1:12" x14ac:dyDescent="0.25">
      <c r="A6">
        <v>5.5</v>
      </c>
      <c r="B6">
        <v>2.5</v>
      </c>
      <c r="C6">
        <v>5</v>
      </c>
      <c r="F6" s="19" t="s">
        <v>22</v>
      </c>
      <c r="G6" s="19" t="s">
        <v>23</v>
      </c>
      <c r="H6" s="19" t="s">
        <v>24</v>
      </c>
      <c r="I6" s="19" t="s">
        <v>25</v>
      </c>
      <c r="J6" s="19" t="s">
        <v>26</v>
      </c>
    </row>
    <row r="7" spans="1:12" x14ac:dyDescent="0.25">
      <c r="A7">
        <v>5.6</v>
      </c>
      <c r="B7">
        <v>3.4</v>
      </c>
      <c r="C7">
        <v>5.9</v>
      </c>
      <c r="F7" t="s">
        <v>17</v>
      </c>
      <c r="G7">
        <v>10</v>
      </c>
      <c r="H7">
        <v>49.20000000000001</v>
      </c>
      <c r="I7">
        <v>4.9200000000000008</v>
      </c>
      <c r="J7">
        <v>0.36844444444443525</v>
      </c>
    </row>
    <row r="8" spans="1:12" x14ac:dyDescent="0.25">
      <c r="A8">
        <v>3.9</v>
      </c>
      <c r="B8">
        <v>2.1</v>
      </c>
      <c r="C8">
        <v>4.5999999999999996</v>
      </c>
      <c r="F8" t="s">
        <v>18</v>
      </c>
      <c r="G8">
        <v>10</v>
      </c>
      <c r="H8">
        <v>29.200000000000003</v>
      </c>
      <c r="I8">
        <v>2.9200000000000004</v>
      </c>
      <c r="J8">
        <v>0.49066666666666159</v>
      </c>
    </row>
    <row r="9" spans="1:12" ht="15.75" thickBot="1" x14ac:dyDescent="0.3">
      <c r="A9">
        <v>4.2</v>
      </c>
      <c r="B9">
        <v>2.2999999999999998</v>
      </c>
      <c r="C9">
        <v>4.8</v>
      </c>
      <c r="F9" s="18" t="s">
        <v>19</v>
      </c>
      <c r="G9" s="18">
        <v>10</v>
      </c>
      <c r="H9" s="18">
        <v>54.2</v>
      </c>
      <c r="I9" s="18">
        <v>5.42</v>
      </c>
      <c r="J9" s="18">
        <v>0.49066666666665998</v>
      </c>
    </row>
    <row r="10" spans="1:12" x14ac:dyDescent="0.25">
      <c r="A10">
        <v>4.7</v>
      </c>
      <c r="B10">
        <v>4.0999999999999996</v>
      </c>
      <c r="C10">
        <v>6.6</v>
      </c>
    </row>
    <row r="11" spans="1:12" x14ac:dyDescent="0.25">
      <c r="A11">
        <v>5.6</v>
      </c>
      <c r="B11">
        <v>2.1</v>
      </c>
      <c r="C11">
        <v>4.5999999999999996</v>
      </c>
    </row>
    <row r="12" spans="1:12" ht="15.75" thickBot="1" x14ac:dyDescent="0.3">
      <c r="F12" t="s">
        <v>27</v>
      </c>
    </row>
    <row r="13" spans="1:12" x14ac:dyDescent="0.25">
      <c r="F13" s="19" t="s">
        <v>28</v>
      </c>
      <c r="G13" s="19" t="s">
        <v>29</v>
      </c>
      <c r="H13" s="19" t="s">
        <v>30</v>
      </c>
      <c r="I13" s="19" t="s">
        <v>31</v>
      </c>
      <c r="J13" s="19" t="s">
        <v>32</v>
      </c>
      <c r="K13" s="19" t="s">
        <v>33</v>
      </c>
      <c r="L13" s="19" t="s">
        <v>34</v>
      </c>
    </row>
    <row r="14" spans="1:12" x14ac:dyDescent="0.25">
      <c r="F14" t="s">
        <v>35</v>
      </c>
      <c r="G14">
        <v>35</v>
      </c>
      <c r="H14">
        <v>2</v>
      </c>
      <c r="I14">
        <v>17.5</v>
      </c>
      <c r="J14">
        <v>38.895291405992758</v>
      </c>
      <c r="K14">
        <v>1.1195934865803888E-8</v>
      </c>
      <c r="L14">
        <v>3.3541308285291991</v>
      </c>
    </row>
    <row r="15" spans="1:12" x14ac:dyDescent="0.25">
      <c r="F15" t="s">
        <v>36</v>
      </c>
      <c r="G15">
        <v>12.148</v>
      </c>
      <c r="H15">
        <v>27</v>
      </c>
      <c r="I15">
        <v>0.4499259259259259</v>
      </c>
    </row>
    <row r="17" spans="6:12" ht="15.75" thickBot="1" x14ac:dyDescent="0.3">
      <c r="F17" s="18" t="s">
        <v>37</v>
      </c>
      <c r="G17" s="18">
        <v>47.148000000000003</v>
      </c>
      <c r="H17" s="18">
        <v>29</v>
      </c>
      <c r="I17" s="18"/>
      <c r="J17" s="18"/>
      <c r="K17" s="18"/>
      <c r="L17" s="18"/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DFE1-3044-49B2-B99E-B1FB1713B352}">
  <dimension ref="A1:L62"/>
  <sheetViews>
    <sheetView topLeftCell="A19" workbookViewId="0">
      <selection activeCell="D43" sqref="D43:F45"/>
    </sheetView>
  </sheetViews>
  <sheetFormatPr baseColWidth="10" defaultRowHeight="15" x14ac:dyDescent="0.25"/>
  <cols>
    <col min="1" max="1" width="11.85546875" bestFit="1" customWidth="1"/>
    <col min="2" max="2" width="10" bestFit="1" customWidth="1"/>
    <col min="4" max="4" width="29.5703125" bestFit="1" customWidth="1"/>
    <col min="5" max="5" width="17.7109375" bestFit="1" customWidth="1"/>
    <col min="6" max="6" width="20.85546875" bestFit="1" customWidth="1"/>
    <col min="7" max="7" width="27.28515625" bestFit="1" customWidth="1"/>
    <col min="8" max="8" width="20.85546875" bestFit="1" customWidth="1"/>
    <col min="9" max="10" width="12.7109375" bestFit="1" customWidth="1"/>
    <col min="11" max="11" width="13.28515625" bestFit="1" customWidth="1"/>
    <col min="12" max="12" width="12.85546875" bestFit="1" customWidth="1"/>
  </cols>
  <sheetData>
    <row r="1" spans="1:2" x14ac:dyDescent="0.25">
      <c r="A1" s="22" t="s">
        <v>49</v>
      </c>
      <c r="B1" s="25" t="s">
        <v>50</v>
      </c>
    </row>
    <row r="2" spans="1:2" x14ac:dyDescent="0.25">
      <c r="A2" s="20">
        <v>1</v>
      </c>
      <c r="B2" s="24">
        <v>43</v>
      </c>
    </row>
    <row r="3" spans="1:2" x14ac:dyDescent="0.25">
      <c r="A3" s="21">
        <v>1</v>
      </c>
      <c r="B3">
        <v>55</v>
      </c>
    </row>
    <row r="4" spans="1:2" x14ac:dyDescent="0.25">
      <c r="A4" s="21">
        <v>1</v>
      </c>
      <c r="B4">
        <v>58</v>
      </c>
    </row>
    <row r="5" spans="1:2" x14ac:dyDescent="0.25">
      <c r="A5" s="21">
        <v>1</v>
      </c>
      <c r="B5">
        <v>79</v>
      </c>
    </row>
    <row r="6" spans="1:2" x14ac:dyDescent="0.25">
      <c r="A6" s="21">
        <v>1</v>
      </c>
      <c r="B6">
        <v>53</v>
      </c>
    </row>
    <row r="7" spans="1:2" x14ac:dyDescent="0.25">
      <c r="A7" s="22">
        <v>1</v>
      </c>
      <c r="B7" s="25">
        <v>49</v>
      </c>
    </row>
    <row r="8" spans="1:2" x14ac:dyDescent="0.25">
      <c r="A8" s="20">
        <v>2</v>
      </c>
      <c r="B8" s="24">
        <v>60</v>
      </c>
    </row>
    <row r="9" spans="1:2" x14ac:dyDescent="0.25">
      <c r="A9" s="21">
        <v>2</v>
      </c>
      <c r="B9">
        <v>33</v>
      </c>
    </row>
    <row r="10" spans="1:2" x14ac:dyDescent="0.25">
      <c r="A10" s="21">
        <v>2</v>
      </c>
      <c r="B10">
        <v>44</v>
      </c>
    </row>
    <row r="11" spans="1:2" x14ac:dyDescent="0.25">
      <c r="A11" s="21">
        <v>2</v>
      </c>
      <c r="B11">
        <v>39</v>
      </c>
    </row>
    <row r="12" spans="1:2" x14ac:dyDescent="0.25">
      <c r="A12" s="21">
        <v>2</v>
      </c>
      <c r="B12">
        <v>41</v>
      </c>
    </row>
    <row r="13" spans="1:2" x14ac:dyDescent="0.25">
      <c r="A13" s="22">
        <v>2</v>
      </c>
      <c r="B13" s="25">
        <v>50</v>
      </c>
    </row>
    <row r="14" spans="1:2" x14ac:dyDescent="0.25">
      <c r="A14" s="20">
        <v>3</v>
      </c>
      <c r="B14" s="24">
        <v>38</v>
      </c>
    </row>
    <row r="15" spans="1:2" x14ac:dyDescent="0.25">
      <c r="A15" s="21">
        <v>3</v>
      </c>
      <c r="B15">
        <v>34</v>
      </c>
    </row>
    <row r="16" spans="1:2" x14ac:dyDescent="0.25">
      <c r="A16" s="21">
        <v>3</v>
      </c>
      <c r="B16">
        <v>19</v>
      </c>
    </row>
    <row r="17" spans="1:9" x14ac:dyDescent="0.25">
      <c r="A17" s="21">
        <v>3</v>
      </c>
      <c r="B17">
        <v>29</v>
      </c>
    </row>
    <row r="18" spans="1:9" x14ac:dyDescent="0.25">
      <c r="A18" s="21">
        <v>3</v>
      </c>
      <c r="B18">
        <v>24</v>
      </c>
    </row>
    <row r="19" spans="1:9" x14ac:dyDescent="0.25">
      <c r="A19" s="22">
        <v>3</v>
      </c>
      <c r="B19" s="25">
        <v>34</v>
      </c>
      <c r="D19" t="s">
        <v>51</v>
      </c>
    </row>
    <row r="20" spans="1:9" ht="15.75" thickBot="1" x14ac:dyDescent="0.3">
      <c r="A20" s="20">
        <v>4</v>
      </c>
      <c r="B20" s="24">
        <v>18</v>
      </c>
    </row>
    <row r="21" spans="1:9" x14ac:dyDescent="0.25">
      <c r="A21" s="21">
        <v>4</v>
      </c>
      <c r="B21">
        <v>16</v>
      </c>
      <c r="D21" s="26" t="s">
        <v>52</v>
      </c>
      <c r="E21" s="26"/>
    </row>
    <row r="22" spans="1:9" x14ac:dyDescent="0.25">
      <c r="A22" s="21">
        <v>4</v>
      </c>
      <c r="B22">
        <v>5</v>
      </c>
      <c r="D22" t="s">
        <v>53</v>
      </c>
      <c r="E22">
        <v>0.9286428637544154</v>
      </c>
      <c r="F22" t="s">
        <v>69</v>
      </c>
    </row>
    <row r="23" spans="1:9" ht="16.5" x14ac:dyDescent="0.25">
      <c r="A23" s="21">
        <v>4</v>
      </c>
      <c r="B23">
        <v>25</v>
      </c>
      <c r="D23" t="s">
        <v>54</v>
      </c>
      <c r="E23">
        <v>0.86237756840200164</v>
      </c>
      <c r="F23" t="s">
        <v>70</v>
      </c>
    </row>
    <row r="24" spans="1:9" x14ac:dyDescent="0.25">
      <c r="A24" s="21">
        <v>4</v>
      </c>
      <c r="B24">
        <v>17</v>
      </c>
      <c r="D24" t="s">
        <v>55</v>
      </c>
      <c r="E24">
        <v>0.85746248155921589</v>
      </c>
      <c r="G24" s="30"/>
      <c r="H24" t="s">
        <v>71</v>
      </c>
    </row>
    <row r="25" spans="1:9" x14ac:dyDescent="0.25">
      <c r="A25" s="22">
        <v>4</v>
      </c>
      <c r="B25" s="25">
        <v>19</v>
      </c>
      <c r="D25" t="s">
        <v>56</v>
      </c>
      <c r="E25">
        <v>7.8457980868135779</v>
      </c>
    </row>
    <row r="26" spans="1:9" ht="15.75" thickBot="1" x14ac:dyDescent="0.3">
      <c r="A26" s="20">
        <v>5</v>
      </c>
      <c r="B26" s="24">
        <v>0</v>
      </c>
      <c r="D26" s="18" t="s">
        <v>39</v>
      </c>
      <c r="E26" s="18">
        <v>30</v>
      </c>
    </row>
    <row r="27" spans="1:9" x14ac:dyDescent="0.25">
      <c r="A27" s="21">
        <v>5</v>
      </c>
      <c r="B27">
        <v>2</v>
      </c>
    </row>
    <row r="28" spans="1:9" ht="15.75" thickBot="1" x14ac:dyDescent="0.3">
      <c r="A28" s="21">
        <v>5</v>
      </c>
      <c r="B28">
        <v>7</v>
      </c>
      <c r="D28" t="s">
        <v>27</v>
      </c>
    </row>
    <row r="29" spans="1:9" x14ac:dyDescent="0.25">
      <c r="A29" s="21">
        <v>5</v>
      </c>
      <c r="B29">
        <v>4</v>
      </c>
      <c r="D29" s="19"/>
      <c r="E29" s="19" t="s">
        <v>30</v>
      </c>
      <c r="F29" s="19" t="s">
        <v>29</v>
      </c>
      <c r="G29" s="19" t="s">
        <v>31</v>
      </c>
      <c r="H29" s="19" t="s">
        <v>32</v>
      </c>
      <c r="I29" s="19" t="s">
        <v>60</v>
      </c>
    </row>
    <row r="30" spans="1:9" x14ac:dyDescent="0.25">
      <c r="A30" s="21">
        <v>5</v>
      </c>
      <c r="B30">
        <v>0</v>
      </c>
      <c r="D30" t="s">
        <v>57</v>
      </c>
      <c r="E30">
        <v>1</v>
      </c>
      <c r="F30">
        <v>10800.416666666668</v>
      </c>
      <c r="G30">
        <v>10800.416666666668</v>
      </c>
      <c r="H30">
        <v>175.4552047575304</v>
      </c>
      <c r="I30">
        <v>1.3995945826734097E-13</v>
      </c>
    </row>
    <row r="31" spans="1:9" x14ac:dyDescent="0.25">
      <c r="A31" s="21">
        <v>5</v>
      </c>
      <c r="B31">
        <v>5</v>
      </c>
      <c r="D31" t="s">
        <v>58</v>
      </c>
      <c r="E31">
        <v>28</v>
      </c>
      <c r="F31">
        <v>1723.583333333333</v>
      </c>
      <c r="G31">
        <v>61.556547619047606</v>
      </c>
    </row>
    <row r="32" spans="1:9" ht="15.75" thickBot="1" x14ac:dyDescent="0.3">
      <c r="D32" s="18" t="s">
        <v>37</v>
      </c>
      <c r="E32" s="18">
        <v>29</v>
      </c>
      <c r="F32" s="18">
        <v>12524</v>
      </c>
      <c r="G32" s="18"/>
      <c r="H32" s="18"/>
      <c r="I32" s="18"/>
    </row>
    <row r="33" spans="2:12" ht="15.75" thickBot="1" x14ac:dyDescent="0.3"/>
    <row r="34" spans="2:12" x14ac:dyDescent="0.25">
      <c r="D34" s="19"/>
      <c r="E34" s="19" t="s">
        <v>61</v>
      </c>
      <c r="F34" s="19" t="s">
        <v>56</v>
      </c>
      <c r="G34" s="19" t="s">
        <v>42</v>
      </c>
      <c r="H34" s="19" t="s">
        <v>33</v>
      </c>
      <c r="I34" s="19" t="s">
        <v>62</v>
      </c>
      <c r="J34" s="19" t="s">
        <v>63</v>
      </c>
      <c r="K34" s="19" t="s">
        <v>64</v>
      </c>
      <c r="L34" s="19" t="s">
        <v>65</v>
      </c>
    </row>
    <row r="35" spans="2:12" x14ac:dyDescent="0.25">
      <c r="C35" t="s">
        <v>66</v>
      </c>
      <c r="D35" t="s">
        <v>59</v>
      </c>
      <c r="E35">
        <v>70.25</v>
      </c>
      <c r="F35">
        <v>3.3593700396788773</v>
      </c>
      <c r="G35">
        <v>20.911658784310408</v>
      </c>
      <c r="H35">
        <v>1.2560919570390735E-18</v>
      </c>
      <c r="I35">
        <v>63.368642418788816</v>
      </c>
      <c r="J35">
        <v>77.131357581211191</v>
      </c>
      <c r="K35">
        <v>63.368642418788816</v>
      </c>
      <c r="L35">
        <v>77.131357581211191</v>
      </c>
    </row>
    <row r="36" spans="2:12" ht="15.75" thickBot="1" x14ac:dyDescent="0.3">
      <c r="C36" t="s">
        <v>67</v>
      </c>
      <c r="D36" s="29" t="s">
        <v>49</v>
      </c>
      <c r="E36" s="29">
        <v>-13.416666666666668</v>
      </c>
      <c r="F36" s="29">
        <v>1.0128881775978336</v>
      </c>
      <c r="G36" s="29">
        <v>-13.245950504117488</v>
      </c>
      <c r="H36" s="29">
        <v>1.3995945826734097E-13</v>
      </c>
      <c r="I36" s="18">
        <v>-15.491474043498041</v>
      </c>
      <c r="J36" s="18">
        <v>-11.341859289835295</v>
      </c>
      <c r="K36" s="18">
        <v>-15.491474043498041</v>
      </c>
      <c r="L36" s="18">
        <v>-11.341859289835295</v>
      </c>
    </row>
    <row r="37" spans="2:12" x14ac:dyDescent="0.25">
      <c r="D37" t="s">
        <v>68</v>
      </c>
    </row>
    <row r="41" spans="2:12" x14ac:dyDescent="0.25">
      <c r="B41" s="27"/>
      <c r="C41" s="27"/>
    </row>
    <row r="42" spans="2:12" ht="15.75" thickBot="1" x14ac:dyDescent="0.3"/>
    <row r="43" spans="2:12" x14ac:dyDescent="0.25">
      <c r="D43" s="19"/>
      <c r="E43" s="19" t="s">
        <v>49</v>
      </c>
      <c r="F43" s="19" t="s">
        <v>50</v>
      </c>
    </row>
    <row r="44" spans="2:12" x14ac:dyDescent="0.25">
      <c r="D44" t="s">
        <v>49</v>
      </c>
      <c r="E44">
        <v>1</v>
      </c>
    </row>
    <row r="45" spans="2:12" ht="15.75" thickBot="1" x14ac:dyDescent="0.3">
      <c r="D45" s="18" t="s">
        <v>50</v>
      </c>
      <c r="E45" s="18">
        <v>-0.92864286375441507</v>
      </c>
      <c r="F45" s="18">
        <v>1</v>
      </c>
    </row>
    <row r="49" spans="2:10" x14ac:dyDescent="0.25">
      <c r="B49" s="28"/>
      <c r="C49" s="28"/>
      <c r="D49" s="28"/>
      <c r="E49" s="28"/>
      <c r="F49" s="28"/>
      <c r="G49" s="28"/>
    </row>
    <row r="54" spans="2:10" x14ac:dyDescent="0.25">
      <c r="B54" s="28"/>
      <c r="C54" s="28"/>
      <c r="D54" s="28"/>
      <c r="E54" s="28"/>
      <c r="F54" s="28"/>
      <c r="G54" s="28"/>
      <c r="H54" s="28"/>
      <c r="I54" s="28"/>
      <c r="J54" s="28"/>
    </row>
    <row r="62" spans="2:10" x14ac:dyDescent="0.25">
      <c r="B62" s="28"/>
      <c r="C62" s="28"/>
      <c r="D62" s="28"/>
      <c r="E62" s="28"/>
      <c r="G62" s="28"/>
      <c r="H62" s="28"/>
    </row>
  </sheetData>
  <sortState xmlns:xlrd2="http://schemas.microsoft.com/office/spreadsheetml/2017/richdata2" ref="H63:H92">
    <sortCondition ref="H63"/>
  </sortState>
  <pageMargins left="0.7" right="0.7" top="0.78740157499999996" bottom="0.78740157499999996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80B5-3C64-4748-A420-FA0525900E43}">
  <dimension ref="A1:N47"/>
  <sheetViews>
    <sheetView tabSelected="1" topLeftCell="D18" workbookViewId="0">
      <selection activeCell="A47" sqref="A47"/>
    </sheetView>
  </sheetViews>
  <sheetFormatPr baseColWidth="10" defaultRowHeight="15" x14ac:dyDescent="0.25"/>
  <cols>
    <col min="8" max="8" width="55.7109375" bestFit="1" customWidth="1"/>
    <col min="9" max="9" width="20.85546875" bestFit="1" customWidth="1"/>
    <col min="10" max="10" width="17.7109375" bestFit="1" customWidth="1"/>
    <col min="11" max="11" width="27.28515625" bestFit="1" customWidth="1"/>
    <col min="12" max="12" width="13.28515625" bestFit="1" customWidth="1"/>
    <col min="14" max="14" width="16" bestFit="1" customWidth="1"/>
  </cols>
  <sheetData>
    <row r="1" spans="1:11" x14ac:dyDescent="0.25">
      <c r="A1" s="3"/>
      <c r="B1" s="9" t="s">
        <v>3</v>
      </c>
      <c r="C1" s="4"/>
      <c r="D1" s="3"/>
      <c r="E1" s="9" t="s">
        <v>4</v>
      </c>
      <c r="F1" s="4"/>
    </row>
    <row r="2" spans="1:11" x14ac:dyDescent="0.25">
      <c r="A2" s="5" t="s">
        <v>0</v>
      </c>
      <c r="B2" s="5" t="s">
        <v>1</v>
      </c>
      <c r="C2" s="5" t="s">
        <v>2</v>
      </c>
      <c r="D2" s="5" t="s">
        <v>0</v>
      </c>
      <c r="E2" s="5" t="s">
        <v>1</v>
      </c>
      <c r="F2" s="5" t="s">
        <v>2</v>
      </c>
    </row>
    <row r="3" spans="1:11" x14ac:dyDescent="0.25">
      <c r="A3" s="2">
        <v>12</v>
      </c>
      <c r="B3" s="1">
        <v>9</v>
      </c>
      <c r="C3" s="1">
        <v>7</v>
      </c>
      <c r="D3" s="1">
        <v>6</v>
      </c>
      <c r="E3" s="1">
        <v>7</v>
      </c>
      <c r="F3" s="1">
        <v>6</v>
      </c>
    </row>
    <row r="4" spans="1:11" x14ac:dyDescent="0.25">
      <c r="A4" s="2">
        <v>15</v>
      </c>
      <c r="B4" s="1">
        <v>8</v>
      </c>
      <c r="C4" s="1">
        <v>12</v>
      </c>
      <c r="D4" s="1">
        <v>2</v>
      </c>
      <c r="E4" s="1">
        <v>3</v>
      </c>
      <c r="F4" s="1">
        <v>1</v>
      </c>
    </row>
    <row r="5" spans="1:11" x14ac:dyDescent="0.25">
      <c r="A5" s="2">
        <v>7</v>
      </c>
      <c r="B5" s="1">
        <v>16</v>
      </c>
      <c r="C5" s="1">
        <v>15</v>
      </c>
      <c r="D5" s="1">
        <v>7</v>
      </c>
      <c r="E5" s="1">
        <v>5</v>
      </c>
      <c r="F5" s="1">
        <v>8</v>
      </c>
    </row>
    <row r="6" spans="1:11" x14ac:dyDescent="0.25">
      <c r="A6" s="2">
        <v>3</v>
      </c>
      <c r="B6" s="1">
        <v>5</v>
      </c>
      <c r="C6" s="1">
        <v>4</v>
      </c>
      <c r="D6" s="1">
        <v>8</v>
      </c>
      <c r="E6" s="1">
        <v>9</v>
      </c>
      <c r="F6" s="1">
        <v>6</v>
      </c>
    </row>
    <row r="7" spans="1:11" x14ac:dyDescent="0.25">
      <c r="A7" s="2">
        <v>11</v>
      </c>
      <c r="B7" s="1">
        <v>13</v>
      </c>
      <c r="C7" s="1">
        <v>10</v>
      </c>
      <c r="D7" s="1">
        <v>4</v>
      </c>
      <c r="E7" s="1">
        <v>4</v>
      </c>
      <c r="F7" s="1">
        <v>3</v>
      </c>
    </row>
    <row r="9" spans="1:11" x14ac:dyDescent="0.25">
      <c r="A9" s="23"/>
      <c r="B9" s="5" t="s">
        <v>3</v>
      </c>
      <c r="C9" s="5" t="s">
        <v>4</v>
      </c>
    </row>
    <row r="10" spans="1:11" x14ac:dyDescent="0.25">
      <c r="A10" s="6" t="s">
        <v>0</v>
      </c>
      <c r="B10" s="31">
        <v>12</v>
      </c>
      <c r="C10" s="32">
        <v>6</v>
      </c>
      <c r="H10" t="s">
        <v>73</v>
      </c>
    </row>
    <row r="11" spans="1:11" x14ac:dyDescent="0.25">
      <c r="A11" s="7"/>
      <c r="B11" s="31">
        <v>15</v>
      </c>
      <c r="C11" s="32">
        <v>2</v>
      </c>
    </row>
    <row r="12" spans="1:11" x14ac:dyDescent="0.25">
      <c r="A12" s="7"/>
      <c r="B12" s="31">
        <v>7</v>
      </c>
      <c r="C12" s="32">
        <v>7</v>
      </c>
      <c r="F12" s="28"/>
      <c r="G12" s="28"/>
      <c r="H12" t="s">
        <v>21</v>
      </c>
      <c r="I12" t="s">
        <v>3</v>
      </c>
      <c r="J12" t="s">
        <v>4</v>
      </c>
      <c r="K12" t="s">
        <v>37</v>
      </c>
    </row>
    <row r="13" spans="1:11" ht="15.75" thickBot="1" x14ac:dyDescent="0.3">
      <c r="A13" s="7"/>
      <c r="B13" s="31">
        <v>3</v>
      </c>
      <c r="C13" s="32">
        <v>8</v>
      </c>
      <c r="H13" s="35" t="s">
        <v>0</v>
      </c>
      <c r="I13" s="35"/>
      <c r="J13" s="35"/>
      <c r="K13" s="35"/>
    </row>
    <row r="14" spans="1:11" x14ac:dyDescent="0.25">
      <c r="A14" s="7"/>
      <c r="B14" s="31">
        <v>11</v>
      </c>
      <c r="C14" s="32">
        <v>4</v>
      </c>
      <c r="H14" t="s">
        <v>23</v>
      </c>
      <c r="I14">
        <v>5</v>
      </c>
      <c r="J14">
        <v>5</v>
      </c>
      <c r="K14">
        <v>10</v>
      </c>
    </row>
    <row r="15" spans="1:11" x14ac:dyDescent="0.25">
      <c r="A15" s="6" t="s">
        <v>1</v>
      </c>
      <c r="B15" s="33">
        <v>9</v>
      </c>
      <c r="C15" s="34">
        <v>7</v>
      </c>
      <c r="H15" t="s">
        <v>24</v>
      </c>
      <c r="I15">
        <v>48</v>
      </c>
      <c r="J15">
        <v>27</v>
      </c>
      <c r="K15">
        <v>75</v>
      </c>
    </row>
    <row r="16" spans="1:11" x14ac:dyDescent="0.25">
      <c r="A16" s="7"/>
      <c r="B16" s="33">
        <v>8</v>
      </c>
      <c r="C16" s="34">
        <v>3</v>
      </c>
      <c r="H16" t="s">
        <v>25</v>
      </c>
      <c r="I16">
        <v>9.6</v>
      </c>
      <c r="J16">
        <v>5.4</v>
      </c>
      <c r="K16">
        <v>7.5</v>
      </c>
    </row>
    <row r="17" spans="1:12" x14ac:dyDescent="0.25">
      <c r="A17" s="7"/>
      <c r="B17" s="33">
        <v>16</v>
      </c>
      <c r="C17" s="34">
        <v>5</v>
      </c>
      <c r="H17" t="s">
        <v>26</v>
      </c>
      <c r="I17">
        <v>21.799999999999997</v>
      </c>
      <c r="J17">
        <v>5.7999999999999972</v>
      </c>
      <c r="K17">
        <v>17.166666666666668</v>
      </c>
    </row>
    <row r="18" spans="1:12" x14ac:dyDescent="0.25">
      <c r="A18" s="7"/>
      <c r="B18" s="33">
        <v>5</v>
      </c>
      <c r="C18" s="34">
        <v>9</v>
      </c>
    </row>
    <row r="19" spans="1:12" ht="15.75" thickBot="1" x14ac:dyDescent="0.3">
      <c r="A19" s="7"/>
      <c r="B19" s="33">
        <v>13</v>
      </c>
      <c r="C19" s="34">
        <v>4</v>
      </c>
      <c r="H19" s="35" t="s">
        <v>1</v>
      </c>
      <c r="I19" s="35"/>
      <c r="J19" s="35"/>
      <c r="K19" s="35"/>
    </row>
    <row r="20" spans="1:12" x14ac:dyDescent="0.25">
      <c r="A20" s="6" t="s">
        <v>2</v>
      </c>
      <c r="B20" s="2">
        <v>7</v>
      </c>
      <c r="C20" s="1">
        <v>6</v>
      </c>
      <c r="H20" t="s">
        <v>23</v>
      </c>
      <c r="I20">
        <v>5</v>
      </c>
      <c r="J20">
        <v>5</v>
      </c>
      <c r="K20">
        <v>10</v>
      </c>
    </row>
    <row r="21" spans="1:12" x14ac:dyDescent="0.25">
      <c r="A21" s="7"/>
      <c r="B21" s="2">
        <v>12</v>
      </c>
      <c r="C21" s="1">
        <v>1</v>
      </c>
      <c r="H21" t="s">
        <v>24</v>
      </c>
      <c r="I21">
        <v>51</v>
      </c>
      <c r="J21">
        <v>28</v>
      </c>
      <c r="K21">
        <v>79</v>
      </c>
    </row>
    <row r="22" spans="1:12" x14ac:dyDescent="0.25">
      <c r="A22" s="7"/>
      <c r="B22" s="2">
        <v>15</v>
      </c>
      <c r="C22" s="1">
        <v>8</v>
      </c>
      <c r="H22" t="s">
        <v>25</v>
      </c>
      <c r="I22">
        <v>10.199999999999999</v>
      </c>
      <c r="J22">
        <v>5.6</v>
      </c>
      <c r="K22">
        <v>7.9</v>
      </c>
    </row>
    <row r="23" spans="1:12" x14ac:dyDescent="0.25">
      <c r="A23" s="7"/>
      <c r="B23" s="2">
        <v>4</v>
      </c>
      <c r="C23" s="1">
        <v>6</v>
      </c>
      <c r="H23" t="s">
        <v>26</v>
      </c>
      <c r="I23">
        <v>18.699999999999989</v>
      </c>
      <c r="J23">
        <v>5.7999999999999972</v>
      </c>
      <c r="K23">
        <v>16.766666666666666</v>
      </c>
    </row>
    <row r="24" spans="1:12" x14ac:dyDescent="0.25">
      <c r="A24" s="8"/>
      <c r="B24" s="2">
        <v>10</v>
      </c>
      <c r="C24" s="1">
        <v>3</v>
      </c>
    </row>
    <row r="25" spans="1:12" ht="15.75" thickBot="1" x14ac:dyDescent="0.3">
      <c r="H25" s="35" t="s">
        <v>2</v>
      </c>
      <c r="I25" s="35"/>
      <c r="J25" s="35"/>
      <c r="K25" s="35"/>
    </row>
    <row r="26" spans="1:12" x14ac:dyDescent="0.25">
      <c r="H26" t="s">
        <v>23</v>
      </c>
      <c r="I26">
        <v>5</v>
      </c>
      <c r="J26">
        <v>5</v>
      </c>
      <c r="K26">
        <v>10</v>
      </c>
    </row>
    <row r="27" spans="1:12" x14ac:dyDescent="0.25">
      <c r="H27" t="s">
        <v>24</v>
      </c>
      <c r="I27">
        <v>48</v>
      </c>
      <c r="J27">
        <v>24</v>
      </c>
      <c r="K27">
        <v>72</v>
      </c>
    </row>
    <row r="28" spans="1:12" x14ac:dyDescent="0.25">
      <c r="H28" t="s">
        <v>25</v>
      </c>
      <c r="I28">
        <v>9.6</v>
      </c>
      <c r="J28">
        <v>4.8</v>
      </c>
      <c r="K28">
        <v>7.2</v>
      </c>
    </row>
    <row r="29" spans="1:12" x14ac:dyDescent="0.25">
      <c r="H29" t="s">
        <v>26</v>
      </c>
      <c r="I29">
        <v>18.299999999999997</v>
      </c>
      <c r="J29">
        <v>7.6999999999999993</v>
      </c>
      <c r="K29">
        <v>17.955555555555559</v>
      </c>
    </row>
    <row r="31" spans="1:12" ht="15.75" thickBot="1" x14ac:dyDescent="0.3">
      <c r="H31" s="35" t="s">
        <v>37</v>
      </c>
      <c r="I31" s="35"/>
      <c r="J31" s="35"/>
      <c r="K31" s="35"/>
      <c r="L31" s="35"/>
    </row>
    <row r="32" spans="1:12" x14ac:dyDescent="0.25">
      <c r="H32" t="s">
        <v>23</v>
      </c>
      <c r="I32">
        <v>15</v>
      </c>
      <c r="J32">
        <v>15</v>
      </c>
    </row>
    <row r="33" spans="1:14" x14ac:dyDescent="0.25">
      <c r="H33" t="s">
        <v>24</v>
      </c>
      <c r="I33">
        <v>147</v>
      </c>
      <c r="J33">
        <v>79</v>
      </c>
    </row>
    <row r="34" spans="1:14" x14ac:dyDescent="0.25">
      <c r="H34" t="s">
        <v>25</v>
      </c>
      <c r="I34">
        <v>9.8000000000000007</v>
      </c>
      <c r="J34">
        <v>5.2666666666666666</v>
      </c>
    </row>
    <row r="35" spans="1:14" x14ac:dyDescent="0.25">
      <c r="H35" t="s">
        <v>26</v>
      </c>
      <c r="I35">
        <v>16.885714285714293</v>
      </c>
      <c r="J35">
        <v>5.6380952380952385</v>
      </c>
    </row>
    <row r="38" spans="1:14" ht="15.75" thickBot="1" x14ac:dyDescent="0.3">
      <c r="H38" t="s">
        <v>27</v>
      </c>
    </row>
    <row r="39" spans="1:14" x14ac:dyDescent="0.25">
      <c r="H39" s="19" t="s">
        <v>28</v>
      </c>
      <c r="I39" s="19" t="s">
        <v>29</v>
      </c>
      <c r="J39" s="19" t="s">
        <v>30</v>
      </c>
      <c r="K39" s="19" t="s">
        <v>31</v>
      </c>
      <c r="L39" s="19" t="s">
        <v>32</v>
      </c>
      <c r="M39" s="19" t="s">
        <v>33</v>
      </c>
      <c r="N39" s="19" t="s">
        <v>34</v>
      </c>
    </row>
    <row r="40" spans="1:14" x14ac:dyDescent="0.25">
      <c r="H40" s="40" t="s">
        <v>74</v>
      </c>
      <c r="I40">
        <v>2.4666666666665833</v>
      </c>
      <c r="J40">
        <v>2</v>
      </c>
      <c r="K40">
        <v>1.2333333333332916</v>
      </c>
      <c r="L40">
        <v>9.4750320102429578E-2</v>
      </c>
      <c r="M40" s="40">
        <v>0.90993854934788398</v>
      </c>
      <c r="N40">
        <v>3.4028261053501945</v>
      </c>
    </row>
    <row r="41" spans="1:14" x14ac:dyDescent="0.25">
      <c r="H41" s="40" t="s">
        <v>72</v>
      </c>
      <c r="I41">
        <v>154.13333333333327</v>
      </c>
      <c r="J41">
        <v>1</v>
      </c>
      <c r="K41">
        <v>154.13333333333327</v>
      </c>
      <c r="L41">
        <v>11.841229193341865</v>
      </c>
      <c r="M41" s="40">
        <v>2.1307232050466729E-3</v>
      </c>
      <c r="N41">
        <v>4.2596772726902348</v>
      </c>
    </row>
    <row r="42" spans="1:14" x14ac:dyDescent="0.25">
      <c r="H42" s="40" t="s">
        <v>75</v>
      </c>
      <c r="I42">
        <v>0.46666666666675383</v>
      </c>
      <c r="J42">
        <v>2</v>
      </c>
      <c r="K42">
        <v>0.23333333333337691</v>
      </c>
      <c r="L42">
        <v>1.792573623559874E-2</v>
      </c>
      <c r="M42" s="40">
        <v>0.98224711201582382</v>
      </c>
      <c r="N42">
        <v>3.4028261053501945</v>
      </c>
    </row>
    <row r="43" spans="1:14" x14ac:dyDescent="0.25">
      <c r="H43" t="s">
        <v>76</v>
      </c>
      <c r="I43">
        <v>312.39999999999998</v>
      </c>
      <c r="J43">
        <v>24</v>
      </c>
      <c r="K43">
        <v>13.016666666666666</v>
      </c>
    </row>
    <row r="45" spans="1:14" ht="15.75" thickBot="1" x14ac:dyDescent="0.3">
      <c r="H45" s="18" t="s">
        <v>37</v>
      </c>
      <c r="I45" s="18">
        <v>469.46666666666658</v>
      </c>
      <c r="J45" s="18">
        <v>29</v>
      </c>
      <c r="K45" s="18"/>
      <c r="L45" s="18"/>
      <c r="M45" s="18"/>
      <c r="N45" s="18"/>
    </row>
    <row r="47" spans="1:14" x14ac:dyDescent="0.25">
      <c r="A47" t="s">
        <v>103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7782-D4A0-4E5E-A19B-F750ABFEAFFC}">
  <dimension ref="A1:G17"/>
  <sheetViews>
    <sheetView workbookViewId="0">
      <selection activeCell="G4" sqref="G4"/>
    </sheetView>
  </sheetViews>
  <sheetFormatPr baseColWidth="10" defaultRowHeight="15" x14ac:dyDescent="0.25"/>
  <sheetData>
    <row r="1" spans="1:7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</row>
    <row r="2" spans="1:7" x14ac:dyDescent="0.25">
      <c r="A2">
        <v>20</v>
      </c>
      <c r="B2">
        <v>24</v>
      </c>
      <c r="C2">
        <f>A2-B2</f>
        <v>-4</v>
      </c>
      <c r="D2">
        <f xml:space="preserve"> ABS(C2)</f>
        <v>4</v>
      </c>
      <c r="E2">
        <f xml:space="preserve"> _xlfn.RANK.AVG(D2,$D$2:$D$13,1)</f>
        <v>9.5</v>
      </c>
      <c r="F2" t="str">
        <f>IF(C2&gt;0, E2, "")</f>
        <v/>
      </c>
      <c r="G2">
        <f>IF(C2&lt;0,E2,"")</f>
        <v>9.5</v>
      </c>
    </row>
    <row r="3" spans="1:7" x14ac:dyDescent="0.25">
      <c r="A3">
        <v>23</v>
      </c>
      <c r="B3">
        <v>25</v>
      </c>
      <c r="C3">
        <f t="shared" ref="C3:C13" si="0">A3-B3</f>
        <v>-2</v>
      </c>
      <c r="D3">
        <f t="shared" ref="D3:D13" si="1" xml:space="preserve"> ABS(C3)</f>
        <v>2</v>
      </c>
      <c r="E3">
        <f t="shared" ref="E3:E13" si="2" xml:space="preserve"> _xlfn.RANK.AVG(D3,$D$2:$D$13,1)</f>
        <v>4.5</v>
      </c>
      <c r="F3" t="str">
        <f t="shared" ref="F3:F13" si="3">IF(C3&gt;0, E3, "")</f>
        <v/>
      </c>
      <c r="G3">
        <f>IF(C3&lt;0,E3,"")</f>
        <v>4.5</v>
      </c>
    </row>
    <row r="4" spans="1:7" x14ac:dyDescent="0.25">
      <c r="A4">
        <v>21</v>
      </c>
      <c r="B4">
        <v>21</v>
      </c>
      <c r="C4">
        <f t="shared" si="0"/>
        <v>0</v>
      </c>
      <c r="D4">
        <f t="shared" si="1"/>
        <v>0</v>
      </c>
      <c r="E4">
        <f t="shared" si="2"/>
        <v>1</v>
      </c>
      <c r="F4" t="str">
        <f t="shared" si="3"/>
        <v/>
      </c>
      <c r="G4" t="str">
        <f t="shared" ref="G4:G13" si="4">IF(C4&lt;0,E4,"")</f>
        <v/>
      </c>
    </row>
    <row r="5" spans="1:7" x14ac:dyDescent="0.25">
      <c r="A5">
        <v>25</v>
      </c>
      <c r="B5">
        <v>22</v>
      </c>
      <c r="C5">
        <f t="shared" si="0"/>
        <v>3</v>
      </c>
      <c r="D5">
        <f t="shared" si="1"/>
        <v>3</v>
      </c>
      <c r="E5">
        <f xml:space="preserve"> _xlfn.RANK.AVG(D5,$D$2:$D$13,1)</f>
        <v>6.5</v>
      </c>
      <c r="F5">
        <f>IF(C5&gt;0, E5, "")</f>
        <v>6.5</v>
      </c>
      <c r="G5" t="str">
        <f t="shared" si="4"/>
        <v/>
      </c>
    </row>
    <row r="6" spans="1:7" x14ac:dyDescent="0.25">
      <c r="A6">
        <v>18</v>
      </c>
      <c r="B6">
        <v>23</v>
      </c>
      <c r="C6">
        <f t="shared" si="0"/>
        <v>-5</v>
      </c>
      <c r="D6">
        <f t="shared" si="1"/>
        <v>5</v>
      </c>
      <c r="E6">
        <f t="shared" si="2"/>
        <v>12</v>
      </c>
      <c r="F6" t="str">
        <f t="shared" si="3"/>
        <v/>
      </c>
      <c r="G6">
        <f t="shared" si="4"/>
        <v>12</v>
      </c>
    </row>
    <row r="7" spans="1:7" x14ac:dyDescent="0.25">
      <c r="A7">
        <v>17</v>
      </c>
      <c r="B7">
        <v>18</v>
      </c>
      <c r="C7">
        <f t="shared" si="0"/>
        <v>-1</v>
      </c>
      <c r="D7">
        <f t="shared" si="1"/>
        <v>1</v>
      </c>
      <c r="E7">
        <f t="shared" si="2"/>
        <v>2.5</v>
      </c>
      <c r="F7" t="str">
        <f t="shared" si="3"/>
        <v/>
      </c>
      <c r="G7">
        <f t="shared" si="4"/>
        <v>2.5</v>
      </c>
    </row>
    <row r="8" spans="1:7" x14ac:dyDescent="0.25">
      <c r="A8">
        <v>18</v>
      </c>
      <c r="B8">
        <v>17</v>
      </c>
      <c r="C8">
        <f t="shared" si="0"/>
        <v>1</v>
      </c>
      <c r="D8">
        <f t="shared" si="1"/>
        <v>1</v>
      </c>
      <c r="E8">
        <f t="shared" si="2"/>
        <v>2.5</v>
      </c>
      <c r="F8">
        <f t="shared" si="3"/>
        <v>2.5</v>
      </c>
      <c r="G8" t="str">
        <f t="shared" si="4"/>
        <v/>
      </c>
    </row>
    <row r="9" spans="1:7" x14ac:dyDescent="0.25">
      <c r="A9">
        <v>24</v>
      </c>
      <c r="B9">
        <v>28</v>
      </c>
      <c r="C9">
        <f t="shared" si="0"/>
        <v>-4</v>
      </c>
      <c r="D9">
        <f t="shared" si="1"/>
        <v>4</v>
      </c>
      <c r="E9">
        <f t="shared" si="2"/>
        <v>9.5</v>
      </c>
      <c r="F9" t="str">
        <f t="shared" si="3"/>
        <v/>
      </c>
      <c r="G9">
        <f t="shared" si="4"/>
        <v>9.5</v>
      </c>
    </row>
    <row r="10" spans="1:7" x14ac:dyDescent="0.25">
      <c r="A10">
        <v>20</v>
      </c>
      <c r="B10">
        <v>24</v>
      </c>
      <c r="C10">
        <f t="shared" si="0"/>
        <v>-4</v>
      </c>
      <c r="D10">
        <f t="shared" si="1"/>
        <v>4</v>
      </c>
      <c r="E10">
        <f xml:space="preserve"> _xlfn.RANK.AVG(D10,$D$2:$D$13,1)</f>
        <v>9.5</v>
      </c>
      <c r="F10" t="str">
        <f t="shared" si="3"/>
        <v/>
      </c>
      <c r="G10">
        <f t="shared" si="4"/>
        <v>9.5</v>
      </c>
    </row>
    <row r="11" spans="1:7" x14ac:dyDescent="0.25">
      <c r="A11">
        <v>24</v>
      </c>
      <c r="B11">
        <v>27</v>
      </c>
      <c r="C11">
        <f t="shared" si="0"/>
        <v>-3</v>
      </c>
      <c r="D11">
        <f t="shared" si="1"/>
        <v>3</v>
      </c>
      <c r="E11">
        <f t="shared" si="2"/>
        <v>6.5</v>
      </c>
      <c r="F11" t="str">
        <f t="shared" si="3"/>
        <v/>
      </c>
      <c r="G11">
        <f t="shared" si="4"/>
        <v>6.5</v>
      </c>
    </row>
    <row r="12" spans="1:7" x14ac:dyDescent="0.25">
      <c r="A12">
        <v>23</v>
      </c>
      <c r="B12">
        <v>21</v>
      </c>
      <c r="C12">
        <f t="shared" si="0"/>
        <v>2</v>
      </c>
      <c r="D12">
        <f t="shared" si="1"/>
        <v>2</v>
      </c>
      <c r="E12">
        <f t="shared" si="2"/>
        <v>4.5</v>
      </c>
      <c r="F12">
        <f t="shared" si="3"/>
        <v>4.5</v>
      </c>
      <c r="G12" t="str">
        <f t="shared" si="4"/>
        <v/>
      </c>
    </row>
    <row r="13" spans="1:7" x14ac:dyDescent="0.25">
      <c r="A13">
        <v>19</v>
      </c>
      <c r="B13">
        <v>23</v>
      </c>
      <c r="C13">
        <f t="shared" si="0"/>
        <v>-4</v>
      </c>
      <c r="D13">
        <f t="shared" si="1"/>
        <v>4</v>
      </c>
      <c r="E13">
        <f t="shared" si="2"/>
        <v>9.5</v>
      </c>
      <c r="F13" t="str">
        <f t="shared" si="3"/>
        <v/>
      </c>
      <c r="G13">
        <f t="shared" si="4"/>
        <v>9.5</v>
      </c>
    </row>
    <row r="15" spans="1:7" x14ac:dyDescent="0.25">
      <c r="F15" t="s">
        <v>84</v>
      </c>
      <c r="G15">
        <f>MIN(SUM(F2:F13), SUM(G2:G13))</f>
        <v>13.5</v>
      </c>
    </row>
    <row r="16" spans="1:7" x14ac:dyDescent="0.25">
      <c r="F16" t="s">
        <v>85</v>
      </c>
      <c r="G16">
        <f>COUNT(F2:G13)</f>
        <v>11</v>
      </c>
    </row>
    <row r="17" spans="7:7" x14ac:dyDescent="0.25">
      <c r="G17" t="s">
        <v>86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9D56-F0BF-42EA-A887-C9D612B50A8C}">
  <dimension ref="A1:F22"/>
  <sheetViews>
    <sheetView workbookViewId="0">
      <selection activeCell="B28" sqref="B28"/>
    </sheetView>
  </sheetViews>
  <sheetFormatPr baseColWidth="10" defaultRowHeight="15" x14ac:dyDescent="0.25"/>
  <sheetData>
    <row r="1" spans="1:6" x14ac:dyDescent="0.25">
      <c r="A1" t="s">
        <v>87</v>
      </c>
      <c r="E1" t="s">
        <v>90</v>
      </c>
    </row>
    <row r="2" spans="1:6" x14ac:dyDescent="0.25">
      <c r="A2" t="s">
        <v>88</v>
      </c>
      <c r="B2" t="s">
        <v>89</v>
      </c>
      <c r="E2" t="s">
        <v>88</v>
      </c>
      <c r="F2" t="s">
        <v>89</v>
      </c>
    </row>
    <row r="3" spans="1:6" x14ac:dyDescent="0.25">
      <c r="A3">
        <v>57</v>
      </c>
      <c r="B3">
        <v>30</v>
      </c>
      <c r="E3">
        <f t="shared" ref="E3:E17" si="0">_xlfn.RANK.AVG(A3,$A$3:$B$17,1)</f>
        <v>16.5</v>
      </c>
      <c r="F3">
        <f t="shared" ref="F3:F17" si="1">_xlfn.RANK.AVG(B3,$A$3:$B$17,1)</f>
        <v>6.5</v>
      </c>
    </row>
    <row r="4" spans="1:6" x14ac:dyDescent="0.25">
      <c r="A4">
        <v>40</v>
      </c>
      <c r="B4">
        <v>36</v>
      </c>
      <c r="E4">
        <f t="shared" si="0"/>
        <v>14</v>
      </c>
      <c r="F4">
        <f t="shared" si="1"/>
        <v>12</v>
      </c>
    </row>
    <row r="5" spans="1:6" x14ac:dyDescent="0.25">
      <c r="A5">
        <v>80</v>
      </c>
      <c r="B5">
        <v>22</v>
      </c>
      <c r="E5">
        <f t="shared" si="0"/>
        <v>24</v>
      </c>
      <c r="F5">
        <f t="shared" si="1"/>
        <v>5</v>
      </c>
    </row>
    <row r="6" spans="1:6" x14ac:dyDescent="0.25">
      <c r="A6">
        <v>67</v>
      </c>
      <c r="B6">
        <v>35</v>
      </c>
      <c r="E6">
        <f t="shared" si="0"/>
        <v>21</v>
      </c>
      <c r="F6">
        <f t="shared" si="1"/>
        <v>10.5</v>
      </c>
    </row>
    <row r="7" spans="1:6" x14ac:dyDescent="0.25">
      <c r="A7">
        <v>82</v>
      </c>
      <c r="B7">
        <v>11</v>
      </c>
      <c r="E7">
        <f t="shared" si="0"/>
        <v>25</v>
      </c>
      <c r="F7">
        <f t="shared" si="1"/>
        <v>3</v>
      </c>
    </row>
    <row r="8" spans="1:6" x14ac:dyDescent="0.25">
      <c r="A8">
        <v>78</v>
      </c>
      <c r="B8">
        <v>38</v>
      </c>
      <c r="E8">
        <f t="shared" si="0"/>
        <v>23</v>
      </c>
      <c r="F8">
        <f t="shared" si="1"/>
        <v>13</v>
      </c>
    </row>
    <row r="9" spans="1:6" x14ac:dyDescent="0.25">
      <c r="A9">
        <v>100</v>
      </c>
      <c r="B9">
        <v>31</v>
      </c>
      <c r="E9">
        <f t="shared" si="0"/>
        <v>30</v>
      </c>
      <c r="F9">
        <f t="shared" si="1"/>
        <v>8</v>
      </c>
    </row>
    <row r="10" spans="1:6" x14ac:dyDescent="0.25">
      <c r="A10">
        <v>35</v>
      </c>
      <c r="B10">
        <v>30</v>
      </c>
      <c r="E10">
        <f t="shared" si="0"/>
        <v>10.5</v>
      </c>
      <c r="F10">
        <f t="shared" si="1"/>
        <v>6.5</v>
      </c>
    </row>
    <row r="11" spans="1:6" x14ac:dyDescent="0.25">
      <c r="A11">
        <v>34</v>
      </c>
      <c r="B11">
        <v>14</v>
      </c>
      <c r="E11">
        <f t="shared" si="0"/>
        <v>9</v>
      </c>
      <c r="F11">
        <f t="shared" si="1"/>
        <v>4</v>
      </c>
    </row>
    <row r="12" spans="1:6" x14ac:dyDescent="0.25">
      <c r="A12">
        <v>93</v>
      </c>
      <c r="B12">
        <v>3</v>
      </c>
      <c r="E12">
        <f t="shared" si="0"/>
        <v>29</v>
      </c>
      <c r="F12">
        <f t="shared" si="1"/>
        <v>1</v>
      </c>
    </row>
    <row r="13" spans="1:6" x14ac:dyDescent="0.25">
      <c r="A13">
        <v>74</v>
      </c>
      <c r="B13">
        <v>58</v>
      </c>
      <c r="E13">
        <f t="shared" si="0"/>
        <v>22</v>
      </c>
      <c r="F13">
        <f t="shared" si="1"/>
        <v>18.5</v>
      </c>
    </row>
    <row r="14" spans="1:6" x14ac:dyDescent="0.25">
      <c r="A14">
        <v>89</v>
      </c>
      <c r="B14">
        <v>57</v>
      </c>
      <c r="E14">
        <f t="shared" si="0"/>
        <v>27</v>
      </c>
      <c r="F14">
        <f t="shared" si="1"/>
        <v>16.5</v>
      </c>
    </row>
    <row r="15" spans="1:6" x14ac:dyDescent="0.25">
      <c r="A15">
        <v>62</v>
      </c>
      <c r="B15">
        <v>41</v>
      </c>
      <c r="E15">
        <f t="shared" si="0"/>
        <v>20</v>
      </c>
      <c r="F15">
        <f t="shared" si="1"/>
        <v>15</v>
      </c>
    </row>
    <row r="16" spans="1:6" x14ac:dyDescent="0.25">
      <c r="A16">
        <v>90</v>
      </c>
      <c r="B16">
        <v>58</v>
      </c>
      <c r="E16">
        <f t="shared" si="0"/>
        <v>28</v>
      </c>
      <c r="F16">
        <f t="shared" si="1"/>
        <v>18.5</v>
      </c>
    </row>
    <row r="17" spans="1:6" x14ac:dyDescent="0.25">
      <c r="A17">
        <v>88</v>
      </c>
      <c r="B17">
        <v>5</v>
      </c>
      <c r="E17">
        <f t="shared" si="0"/>
        <v>26</v>
      </c>
      <c r="F17">
        <f t="shared" si="1"/>
        <v>2</v>
      </c>
    </row>
    <row r="18" spans="1:6" x14ac:dyDescent="0.25">
      <c r="D18" t="s">
        <v>91</v>
      </c>
      <c r="E18">
        <f>SUM(E3:E17)</f>
        <v>325</v>
      </c>
      <c r="F18">
        <f>SUM(F3:F17)</f>
        <v>140</v>
      </c>
    </row>
    <row r="19" spans="1:6" x14ac:dyDescent="0.25">
      <c r="D19" t="s">
        <v>92</v>
      </c>
      <c r="E19">
        <f>COUNT(A3:A17)</f>
        <v>15</v>
      </c>
      <c r="F19">
        <f>COUNT(B3:B17)</f>
        <v>15</v>
      </c>
    </row>
    <row r="21" spans="1:6" x14ac:dyDescent="0.25">
      <c r="A21" t="s">
        <v>93</v>
      </c>
      <c r="B21">
        <f>$E$19*$F$19 + ((E19*(E19+1))/2) - E18</f>
        <v>20</v>
      </c>
      <c r="E21" t="s">
        <v>95</v>
      </c>
      <c r="F21">
        <f>MIN(B21,B22)</f>
        <v>20</v>
      </c>
    </row>
    <row r="22" spans="1:6" x14ac:dyDescent="0.25">
      <c r="A22" t="s">
        <v>94</v>
      </c>
      <c r="B22">
        <f>$E$19*$F$19 + ((F19*(F19+1))/2) - F18</f>
        <v>205</v>
      </c>
      <c r="E22" t="s">
        <v>96</v>
      </c>
      <c r="F22" t="s">
        <v>97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C61B-899A-4FF8-9EB4-6A9D49C956C2}">
  <dimension ref="A1:G5"/>
  <sheetViews>
    <sheetView workbookViewId="0">
      <selection activeCell="E11" sqref="E11"/>
    </sheetView>
  </sheetViews>
  <sheetFormatPr baseColWidth="10" defaultRowHeight="15" x14ac:dyDescent="0.25"/>
  <cols>
    <col min="2" max="2" width="12" bestFit="1" customWidth="1"/>
  </cols>
  <sheetData>
    <row r="1" spans="1:7" x14ac:dyDescent="0.25">
      <c r="A1" t="s">
        <v>98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25">
      <c r="A2" t="s">
        <v>99</v>
      </c>
      <c r="B2">
        <v>10</v>
      </c>
      <c r="C2">
        <v>25</v>
      </c>
      <c r="D2">
        <v>30</v>
      </c>
      <c r="E2">
        <v>20</v>
      </c>
      <c r="F2">
        <v>30</v>
      </c>
      <c r="G2">
        <v>5</v>
      </c>
    </row>
    <row r="3" spans="1:7" x14ac:dyDescent="0.25">
      <c r="A3" t="s">
        <v>100</v>
      </c>
      <c r="B3">
        <v>20</v>
      </c>
      <c r="C3">
        <v>20</v>
      </c>
      <c r="D3">
        <v>20</v>
      </c>
      <c r="E3">
        <v>20</v>
      </c>
      <c r="F3">
        <v>20</v>
      </c>
      <c r="G3">
        <v>20</v>
      </c>
    </row>
    <row r="5" spans="1:7" x14ac:dyDescent="0.25">
      <c r="A5" t="s">
        <v>101</v>
      </c>
      <c r="B5">
        <f>_xlfn.CHISQ.TEST(B2:G2,B3:G3)</f>
        <v>4.557591659514196E-5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T-Tests</vt:lpstr>
      <vt:lpstr>One-Way ANOVA</vt:lpstr>
      <vt:lpstr>Linear Regerssion</vt:lpstr>
      <vt:lpstr>Two-Way ANOVA</vt:lpstr>
      <vt:lpstr>Wilcoxon Signed Rank</vt:lpstr>
      <vt:lpstr>Wilcoxon mann whtiney u</vt:lpstr>
      <vt:lpstr>ChiSquare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Gerisch</dc:creator>
  <cp:lastModifiedBy>Nils Gerisch</cp:lastModifiedBy>
  <dcterms:created xsi:type="dcterms:W3CDTF">2025-10-16T08:24:44Z</dcterms:created>
  <dcterms:modified xsi:type="dcterms:W3CDTF">2025-10-29T07:37:48Z</dcterms:modified>
</cp:coreProperties>
</file>